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All projects" sheetId="3" state="visible" r:id="rId5"/>
    <sheet name="Stage events" sheetId="4" state="visible" r:id="rId6"/>
    <sheet name="Challenges" sheetId="5" state="visible" r:id="rId7"/>
    <sheet name="Sources" sheetId="6" state="visible" r:id="rId8"/>
    <sheet name="Project sources" sheetId="7" state="visible" r:id="rId9"/>
    <sheet name="NIC snapshots" sheetId="8" state="visible" r:id="rId10"/>
    <sheet name="Jurisdictions" sheetId="9" state="visible" r:id="rId11"/>
    <sheet name="Bodies" sheetId="10" state="visible" r:id="rId12"/>
    <sheet name="Vocabularies" sheetId="11" state="visible" r:id="rId13"/>
    <sheet name="Reliability" sheetId="12" state="visible" r:id="rId14"/>
    <sheet name="_AnswerKey" sheetId="13" state="hidden" r:id="rId15"/>
    <sheet name="Your Coding Sheet" sheetId="14" state="visible" r:id="rId16"/>
    <sheet name="RTI drafts" sheetId="15" state="visible" r:id="rId17"/>
    <sheet name="Policies" sheetId="16" state="visible" r:id="rId18"/>
    <sheet name="Literature" sheetId="17" state="visible" r:id="rId19"/>
    <sheet name="Context stats" sheetId="18" state="visible" r:id="rId20"/>
    <sheet name="Excluded" sheetId="19" state="visible" r:id="rId21"/>
    <sheet name="Changelog" sheetId="20" state="visible" r:id="rId22"/>
  </sheets>
  <definedNames>
    <definedName function="false" hidden="true" localSheetId="2" name="_xlnm._FilterDatabase" vbProcedure="false">'All projects'!$A$1:$BE$119</definedName>
    <definedName function="false" hidden="true" localSheetId="9" name="_xlnm._FilterDatabase" vbProcedure="false">Bodies!$A$1:$H$111</definedName>
    <definedName function="false" hidden="true" localSheetId="4" name="_xlnm._FilterDatabase" vbProcedure="false">Challenges!$A$1:$H$40</definedName>
    <definedName function="false" hidden="true" localSheetId="19" name="_xlnm._FilterDatabase" vbProcedure="false">Changelog!$A$1:$F$155</definedName>
    <definedName function="false" hidden="true" localSheetId="17" name="_xlnm._FilterDatabase" vbProcedure="false">'Context stats'!$A$1:$D$18</definedName>
    <definedName function="false" hidden="true" localSheetId="18" name="_xlnm._FilterDatabase" vbProcedure="false">Excluded!$A$1:$D$12</definedName>
    <definedName function="false" hidden="true" localSheetId="8" name="_xlnm._FilterDatabase" vbProcedure="false">Jurisdictions!$A$1:$I$38</definedName>
    <definedName function="false" hidden="true" localSheetId="16" name="_xlnm._FilterDatabase" vbProcedure="false">Literature!$A$1:$H$17</definedName>
    <definedName function="false" hidden="true" localSheetId="7" name="_xlnm._FilterDatabase" vbProcedure="false">'NIC snapshots'!$A$1:$K$203</definedName>
    <definedName function="false" hidden="true" localSheetId="15" name="_xlnm._FilterDatabase" vbProcedure="false">Policies!$A$1:$G$15</definedName>
    <definedName function="false" hidden="true" localSheetId="6" name="_xlnm._FilterDatabase" vbProcedure="false">'Project sources'!$A$1:$C$501</definedName>
    <definedName function="false" hidden="true" localSheetId="11" name="_xlnm._FilterDatabase" vbProcedure="false">Reliability!$A$1:$E$18</definedName>
    <definedName function="false" hidden="true" localSheetId="14" name="_xlnm._FilterDatabase" vbProcedure="false">'RTI drafts'!$A$1:$E$30</definedName>
    <definedName function="false" hidden="true" localSheetId="5" name="_xlnm._FilterDatabase" vbProcedure="false">Sources!$A$1:$L$340</definedName>
    <definedName function="false" hidden="true" localSheetId="3" name="_xlnm._FilterDatabase" vbProcedure="false">'Stage events'!$A$1:$I$315</definedName>
    <definedName function="false" hidden="true" localSheetId="10" name="_xlnm._FilterDatabase" vbProcedure="false">Vocabularies!$A$1:$E$179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<sst xmlns="http://schemas.openxmlformats.org/spreadsheetml/2006/main" count="17950" uniqueCount="4387">
  <si>
    <t xml:space="preserve">Blockchain in Indian Government Administration: A Project-Level Dataset (2017–2026)</t>
  </si>
  <si>
    <t xml:space="preserve">Version 1.1.0 · created 2026-10-15 · licence CC BY 4.0 · authors: Santanu Mondal (ORCID 0009-0001-6243-1709) and T. Chithralekha, Pondicherry University</t>
  </si>
  <si>
    <t xml:space="preserve">DOI (all versions, always the latest): https://doi.org/10.5281/zenodo.23136332 · this version 1.1.0: https://doi.org/10.5281/zenodo.23415599</t>
  </si>
  <si>
    <t xml:space="preserve">Coded, source-linked inventory of blockchain / distributed-ledger initiatives by Indian public bodies (Union, all 28 States and 8 Union Territories, regulators, courts, statutory bodies), with dated lifecycle events, source-reported challenges (TOE-coded), evidence scores and a time series of the NIC blockchain platform. Structured as normalised tables with controlled vocabularies so new projects, events and snapshots can be added and validated.</t>
  </si>
  <si>
    <t xml:space="preserve">Sheets</t>
  </si>
  <si>
    <t xml:space="preserve">All projects – THE COMBINED TABLE: every project (Union, State, UT, district, municipal, PSU, regulator, court ...) in one row with level of government, body type, region, who built it, stage dates, NIC usage, challenges and evidence</t>
  </si>
  <si>
    <t xml:space="preserve">Summary – live counts by stage, tier, use-case and evidence score (formulas on the Projects sheet)</t>
  </si>
  <si>
    <t xml:space="preserve">Stage events – dated lifecycle events with sources (announced, pilot, live, scaled, latest update)</t>
  </si>
  <si>
    <t xml:space="preserve">Challenges – source-reported challenges, TOE-coded (see Vocabularies for TOE/DOI mapping)</t>
  </si>
  <si>
    <t xml:space="preserve">Sources / Project sources – all sources with type and evidence score, and which project each supports</t>
  </si>
  <si>
    <t xml:space="preserve">NIC snapshots – time series of the NIC blockchain platform by platform, application and department</t>
  </si>
  <si>
    <t xml:space="preserve">Jurisdictions – all 36 States/UTs with ISO 3166-2 and LGD codes, search results and live project counts</t>
  </si>
  <si>
    <t xml:space="preserve">Bodies, Vocabularies – implementing bodies; controlled lists and mappings (COFOG, TOE, DOI, stage, region, body type, platform family)</t>
  </si>
  <si>
    <t xml:space="preserve">Reliability, Your Coding Sheet – consistency check (kappa) and a blind sheet for a human second coder (kappa calculates automatically)</t>
  </si>
  <si>
    <t xml:space="preserve">RTI drafts, Policies, Literature, Context stats, Excluded, Changelog – supporting tables</t>
  </si>
  <si>
    <t xml:space="preserve">The CSV files and datapackage.json are the master copy. Edit them, run tools/build.py (validation) and tools/make_workbook.py to rebuild this workbook.</t>
  </si>
  <si>
    <t xml:space="preserve">"Unclear" means no public update was found, not that a project failed.</t>
  </si>
  <si>
    <t xml:space="preserve">Summary (live formulas on the 'All projects' sheet; active records only)</t>
  </si>
  <si>
    <t xml:space="preserve">Stage</t>
  </si>
  <si>
    <t xml:space="preserve">Union</t>
  </si>
  <si>
    <t xml:space="preserve">State</t>
  </si>
  <si>
    <t xml:space="preserve">Union Territory</t>
  </si>
  <si>
    <t xml:space="preserve">District</t>
  </si>
  <si>
    <t xml:space="preserve">Municipal</t>
  </si>
  <si>
    <t xml:space="preserve">Total</t>
  </si>
  <si>
    <t xml:space="preserve">% of all</t>
  </si>
  <si>
    <t xml:space="preserve">Implemented</t>
  </si>
  <si>
    <t xml:space="preserve">In progress</t>
  </si>
  <si>
    <t xml:space="preserve">Proposed / Planned</t>
  </si>
  <si>
    <t xml:space="preserve">Pilot completed</t>
  </si>
  <si>
    <t xml:space="preserve">Unclear (no recent update)</t>
  </si>
  <si>
    <t xml:space="preserve">Discontinued</t>
  </si>
  <si>
    <t xml:space="preserve">Pilot-to-production rate = Implemented ÷ (Implemented + Pilot completed + Unclear)</t>
  </si>
  <si>
    <t xml:space="preserve">Share backed by an official source (evidence score 4–5)</t>
  </si>
  <si>
    <t xml:space="preserve">Mean evidence score</t>
  </si>
  <si>
    <t xml:space="preserve">Type of public body</t>
  </si>
  <si>
    <t xml:space="preserve">All</t>
  </si>
  <si>
    <t xml:space="preserve">Implemented %</t>
  </si>
  <si>
    <t xml:space="preserve">Ministry / department</t>
  </si>
  <si>
    <t xml:space="preserve">Government (whole of government)</t>
  </si>
  <si>
    <t xml:space="preserve">IT / e-governance agency</t>
  </si>
  <si>
    <t xml:space="preserve">Policy / planning body</t>
  </si>
  <si>
    <t xml:space="preserve">PSU / state-owned company</t>
  </si>
  <si>
    <t xml:space="preserve">Regulator / central bank</t>
  </si>
  <si>
    <t xml:space="preserve">Court / judiciary</t>
  </si>
  <si>
    <t xml:space="preserve">Election commission</t>
  </si>
  <si>
    <t xml:space="preserve">Statutory board / authority</t>
  </si>
  <si>
    <t xml:space="preserve">University / research institute</t>
  </si>
  <si>
    <t xml:space="preserve">Society / foundation</t>
  </si>
  <si>
    <t xml:space="preserve">District administration</t>
  </si>
  <si>
    <t xml:space="preserve">Municipal body</t>
  </si>
  <si>
    <t xml:space="preserve">Built by</t>
  </si>
  <si>
    <t xml:space="preserve">Government IT (NIC / C-DAC / NeGD)</t>
  </si>
  <si>
    <t xml:space="preserve">State IT agency (in-house)</t>
  </si>
  <si>
    <t xml:space="preserve">Private technology vendor</t>
  </si>
  <si>
    <t xml:space="preserve">Academic / research partner</t>
  </si>
  <si>
    <t xml:space="preserve">Banks, depositories or telecom operators</t>
  </si>
  <si>
    <t xml:space="preserve">Government–industry consortium</t>
  </si>
  <si>
    <t xml:space="preserve">International organisation</t>
  </si>
  <si>
    <t xml:space="preserve">Not applicable (policy or judgment)</t>
  </si>
  <si>
    <t xml:space="preserve">Not disclosed</t>
  </si>
  <si>
    <t xml:space="preserve">Region</t>
  </si>
  <si>
    <t xml:space="preserve">Northern</t>
  </si>
  <si>
    <t xml:space="preserve">Central</t>
  </si>
  <si>
    <t xml:space="preserve">Eastern</t>
  </si>
  <si>
    <t xml:space="preserve">Western</t>
  </si>
  <si>
    <t xml:space="preserve">Southern</t>
  </si>
  <si>
    <t xml:space="preserve">North-Eastern</t>
  </si>
  <si>
    <t xml:space="preserve">Island UTs</t>
  </si>
  <si>
    <t xml:space="preserve">National</t>
  </si>
  <si>
    <t xml:space="preserve">Use-case</t>
  </si>
  <si>
    <t xml:space="preserve">Authentication &amp; anti-fraud</t>
  </si>
  <si>
    <t xml:space="preserve">CBDC / digital payments</t>
  </si>
  <si>
    <t xml:space="preserve">Certificates &amp; identity</t>
  </si>
  <si>
    <t xml:space="preserve">E-voting</t>
  </si>
  <si>
    <t xml:space="preserve">Energy trading</t>
  </si>
  <si>
    <t xml:space="preserve">Financial infrastructure</t>
  </si>
  <si>
    <t xml:space="preserve">Land / property registry</t>
  </si>
  <si>
    <t xml:space="preserve">Platform / ecosystem</t>
  </si>
  <si>
    <t xml:space="preserve">Public procurement</t>
  </si>
  <si>
    <t xml:space="preserve">Records &amp; audit trail</t>
  </si>
  <si>
    <t xml:space="preserve">Supply-chain traceability</t>
  </si>
  <si>
    <t xml:space="preserve">Tokenisation / NFTs</t>
  </si>
  <si>
    <t xml:space="preserve">Welfare delivery</t>
  </si>
  <si>
    <t xml:space="preserve">Evidence score</t>
  </si>
  <si>
    <t xml:space="preserve">Projects</t>
  </si>
  <si>
    <t xml:space="preserve">project_id</t>
  </si>
  <si>
    <t xml:space="preserve">project_name</t>
  </si>
  <si>
    <t xml:space="preserve">description</t>
  </si>
  <si>
    <t xml:space="preserve">record_status</t>
  </si>
  <si>
    <t xml:space="preserve">government_level</t>
  </si>
  <si>
    <t xml:space="preserve">body_category</t>
  </si>
  <si>
    <t xml:space="preserve">implementing_body</t>
  </si>
  <si>
    <t xml:space="preserve">parent_ministry_or_state</t>
  </si>
  <si>
    <t xml:space="preserve">dataset_group</t>
  </si>
  <si>
    <t xml:space="preserve">jurisdiction_id</t>
  </si>
  <si>
    <t xml:space="preserve">state_ut</t>
  </si>
  <si>
    <t xml:space="preserve">jurisdiction_type</t>
  </si>
  <si>
    <t xml:space="preserve">region</t>
  </si>
  <si>
    <t xml:space="preserve">lgd_code</t>
  </si>
  <si>
    <t xml:space="preserve">domain</t>
  </si>
  <si>
    <t xml:space="preserve">cofog_division</t>
  </si>
  <si>
    <t xml:space="preserve">cofog_label</t>
  </si>
  <si>
    <t xml:space="preserve">use_case</t>
  </si>
  <si>
    <t xml:space="preserve">problem</t>
  </si>
  <si>
    <t xml:space="preserve">service_type</t>
  </si>
  <si>
    <t xml:space="preserve">platform_reported</t>
  </si>
  <si>
    <t xml:space="preserve">platform</t>
  </si>
  <si>
    <t xml:space="preserve">platform_family</t>
  </si>
  <si>
    <t xml:space="preserve">chain_type</t>
  </si>
  <si>
    <t xml:space="preserve">tech_partner</t>
  </si>
  <si>
    <t xml:space="preserve">implementation_model</t>
  </si>
  <si>
    <t xml:space="preserve">is_nic_chain</t>
  </si>
  <si>
    <t xml:space="preserve">stage</t>
  </si>
  <si>
    <t xml:space="preserve">stage_generic</t>
  </si>
  <si>
    <t xml:space="preserve">status_text</t>
  </si>
  <si>
    <t xml:space="preserve">status_as_of</t>
  </si>
  <si>
    <t xml:space="preserve">start_year</t>
  </si>
  <si>
    <t xml:space="preserve">date_announced</t>
  </si>
  <si>
    <t xml:space="preserve">date_pilot_started</t>
  </si>
  <si>
    <t xml:space="preserve">date_pilot_completed</t>
  </si>
  <si>
    <t xml:space="preserve">date_live</t>
  </si>
  <si>
    <t xml:space="preserve">date_scaled</t>
  </si>
  <si>
    <t xml:space="preserve">date_discontinued</t>
  </si>
  <si>
    <t xml:space="preserve">date_latest_update</t>
  </si>
  <si>
    <t xml:space="preserve">months_to_live</t>
  </si>
  <si>
    <t xml:space="preserve">years_since_update</t>
  </si>
  <si>
    <t xml:space="preserve">scale_text</t>
  </si>
  <si>
    <t xml:space="preserve">scale_tier</t>
  </si>
  <si>
    <t xml:space="preserve">nic_documents_latest</t>
  </si>
  <si>
    <t xml:space="preserve">nic_verifications_latest</t>
  </si>
  <si>
    <t xml:space="preserve">nic_snapshot_date</t>
  </si>
  <si>
    <t xml:space="preserve">challenge_codes</t>
  </si>
  <si>
    <t xml:space="preserve">toe_dimensions</t>
  </si>
  <si>
    <t xml:space="preserve">n_challenges</t>
  </si>
  <si>
    <t xml:space="preserve">evidence_score</t>
  </si>
  <si>
    <t xml:space="preserve">evidence_label</t>
  </si>
  <si>
    <t xml:space="preserve">n_sources</t>
  </si>
  <si>
    <t xml:space="preserve">n_official_sources</t>
  </si>
  <si>
    <t xml:space="preserve">primary_source_url</t>
  </si>
  <si>
    <t xml:space="preserve">verify_note</t>
  </si>
  <si>
    <t xml:space="preserve">related_projects</t>
  </si>
  <si>
    <t xml:space="preserve">last_reviewed</t>
  </si>
  <si>
    <t xml:space="preserve">C01</t>
  </si>
  <si>
    <t xml:space="preserve">National Blockchain Framework – Vishvasya Blockchain Stack (BaaS)</t>
  </si>
  <si>
    <t xml:space="preserve">Shared permissioned blockchain service for all departments; nodes at NIC data centres Bhubaneswar, Pune, Hyderabad</t>
  </si>
  <si>
    <t xml:space="preserve">active</t>
  </si>
  <si>
    <t xml:space="preserve">MeitY / NIC</t>
  </si>
  <si>
    <t xml:space="preserve">Ministry of Electronics &amp; IT</t>
  </si>
  <si>
    <t xml:space="preserve">Union government</t>
  </si>
  <si>
    <t xml:space="preserve">IN</t>
  </si>
  <si>
    <t xml:space="preserve">Union / national</t>
  </si>
  <si>
    <t xml:space="preserve">Platform &amp; Infrastructure</t>
  </si>
  <si>
    <t xml:space="preserve">General public services</t>
  </si>
  <si>
    <t xml:space="preserve">Capacity &amp; shared infrastructure</t>
  </si>
  <si>
    <t xml:space="preserve">G2G</t>
  </si>
  <si>
    <t xml:space="preserve">Permissioned (NIC)</t>
  </si>
  <si>
    <t xml:space="preserve">NIC chains (Hyperledger-based)</t>
  </si>
  <si>
    <t xml:space="preserve">Hyperledger family</t>
  </si>
  <si>
    <t xml:space="preserve">Permissioned</t>
  </si>
  <si>
    <t xml:space="preserve">NIC, C-DAC</t>
  </si>
  <si>
    <t xml:space="preserve">Yes</t>
  </si>
  <si>
    <t xml:space="preserve">Live</t>
  </si>
  <si>
    <t xml:space="preserve">Live. NIC dashboard: 6 products, 12 central orgs/states, 22 departments, 4 PoCs</t>
  </si>
  <si>
    <t xml:space="preserve">2026-10-03</t>
  </si>
  <si>
    <t xml:space="preserve">2021-03</t>
  </si>
  <si>
    <t xml:space="preserve">2024-09-04</t>
  </si>
  <si>
    <t xml:space="preserve">0.0</t>
  </si>
  <si>
    <t xml:space="preserve">11,25,46,175 documents; 47,13,59,890 verifications; outlay ₹64.76 crore</t>
  </si>
  <si>
    <t xml:space="preserve">Large (≥10 lakh)</t>
  </si>
  <si>
    <t xml:space="preserve">O2;O3</t>
  </si>
  <si>
    <t xml:space="preserve">Organisation</t>
  </si>
  <si>
    <t xml:space="preserve">5 – Official source with live/current data</t>
  </si>
  <si>
    <t xml:space="preserve">https://blockchain.gov.in/Home/Home</t>
  </si>
  <si>
    <t xml:space="preserve">2026-10-15</t>
  </si>
  <si>
    <t xml:space="preserve">C02</t>
  </si>
  <si>
    <t xml:space="preserve">NBFLite – blockchain sandbox</t>
  </si>
  <si>
    <t xml:space="preserve">Sandbox with smart-contract templates for startups, academia, students</t>
  </si>
  <si>
    <t xml:space="preserve">MeitY</t>
  </si>
  <si>
    <t xml:space="preserve">G2B</t>
  </si>
  <si>
    <t xml:space="preserve">NIC</t>
  </si>
  <si>
    <t xml:space="preserve">2025-10-24</t>
  </si>
  <si>
    <t xml:space="preserve">1.0</t>
  </si>
  <si>
    <t xml:space="preserve">Not reported</t>
  </si>
  <si>
    <t xml:space="preserve">https://www.pib.gov.in/PressReleasePage.aspx?PRID=2182023</t>
  </si>
  <si>
    <t xml:space="preserve">C03</t>
  </si>
  <si>
    <t xml:space="preserve">Praamaanik – mobile app verification</t>
  </si>
  <si>
    <t xml:space="preserve">Checks a mobile app's origin against blockchain records; verified via M-Kavach-2 app</t>
  </si>
  <si>
    <t xml:space="preserve">Telecom &amp; Cyber</t>
  </si>
  <si>
    <t xml:space="preserve">Economic affairs</t>
  </si>
  <si>
    <t xml:space="preserve">Fraud / spam / fake apps</t>
  </si>
  <si>
    <t xml:space="preserve">G2C</t>
  </si>
  <si>
    <t xml:space="preserve">NIC; MPSEDC apps onboarded</t>
  </si>
  <si>
    <t xml:space="preserve">Live; 14 citizen apps of MPSEDC onboarded</t>
  </si>
  <si>
    <t xml:space="preserve">2026-03-27</t>
  </si>
  <si>
    <t xml:space="preserve">0.6</t>
  </si>
  <si>
    <t xml:space="preserve">14 apps</t>
  </si>
  <si>
    <t xml:space="preserve">Small (&lt;10,000)</t>
  </si>
  <si>
    <t xml:space="preserve">https://www.pib.gov.in/PressReleasePage.aspx?PRID=2246221&amp;reg=3&amp;lang=1</t>
  </si>
  <si>
    <t xml:space="preserve">C04</t>
  </si>
  <si>
    <t xml:space="preserve">Blockchain India Challenge / Startup Challenge (Blockchain &amp; Web3)</t>
  </si>
  <si>
    <t xml:space="preserve">Stage-wise funding for startups building permissioned govt blockchain apps in 10 domains (e-procurement, supply chain, PDS, education, health, agriculture, power, IoT, land records, environment)</t>
  </si>
  <si>
    <t xml:space="preserve">MeitY with C-DAC</t>
  </si>
  <si>
    <t xml:space="preserve">Permissioned (NBF)</t>
  </si>
  <si>
    <t xml:space="preserve">C-DAC, DPIIT</t>
  </si>
  <si>
    <t xml:space="preserve">In development</t>
  </si>
  <si>
    <t xml:space="preserve">Call open; staged grants up to ₹50 lakh per team</t>
  </si>
  <si>
    <t xml:space="preserve">2026-02-23</t>
  </si>
  <si>
    <t xml:space="preserve">Up to 40/30/20/10 teams by stage</t>
  </si>
  <si>
    <t xml:space="preserve">C05</t>
  </si>
  <si>
    <t xml:space="preserve">CoE in Blockchain Technology + Blockchain-as-a-Service</t>
  </si>
  <si>
    <t xml:space="preserve">Consultancy, training, PoCs; runs NIC chains and BaaS (hosting, smart contracts, security) for departments</t>
  </si>
  <si>
    <t xml:space="preserve">NIC – Centre of Excellence in Blockchain (Bengaluru)</t>
  </si>
  <si>
    <t xml:space="preserve">Hyperledger Fabric, Hyperledger Sawtooth, Ethereum</t>
  </si>
  <si>
    <t xml:space="preserve">Hyperledger Fabric</t>
  </si>
  <si>
    <t xml:space="preserve">—</t>
  </si>
  <si>
    <t xml:space="preserve">No</t>
  </si>
  <si>
    <t xml:space="preserve">Operational</t>
  </si>
  <si>
    <t xml:space="preserve">2020-01-17</t>
  </si>
  <si>
    <t xml:space="preserve">2020-01-18</t>
  </si>
  <si>
    <t xml:space="preserve">Growth: Jun 2024 8.08 crore docs (9 orgs, 19 depts) → Dec 2025 10.38 crore (10, 21) → Oct 2026 11.25 crore (12, 22)</t>
  </si>
  <si>
    <t xml:space="preserve">O1;O2;T2</t>
  </si>
  <si>
    <t xml:space="preserve">Organisation;Technology</t>
  </si>
  <si>
    <t xml:space="preserve">C06</t>
  </si>
  <si>
    <t xml:space="preserve">Document Chain</t>
  </si>
  <si>
    <t xml:space="preserve">Store/verify caste, income, ration card, driving licence, birth &amp; death certificates</t>
  </si>
  <si>
    <t xml:space="preserve">Certificates &amp; Identity</t>
  </si>
  <si>
    <t xml:space="preserve">Forgery / fake documents</t>
  </si>
  <si>
    <t xml:space="preserve">2024-04</t>
  </si>
  <si>
    <t xml:space="preserve">48,000+ documents</t>
  </si>
  <si>
    <t xml:space="preserve">Medium (10,000–10 lakh)</t>
  </si>
  <si>
    <t xml:space="preserve">C07</t>
  </si>
  <si>
    <t xml:space="preserve">Property Chain</t>
  </si>
  <si>
    <t xml:space="preserve">Records every property transaction; full history visible before purchase</t>
  </si>
  <si>
    <t xml:space="preserve">Land &amp; Property</t>
  </si>
  <si>
    <t xml:space="preserve">Land fraud &amp; disputes</t>
  </si>
  <si>
    <t xml:space="preserve">2025-10-21</t>
  </si>
  <si>
    <t xml:space="preserve">34 crore+ property documents (per PIB)</t>
  </si>
  <si>
    <t xml:space="preserve">PIB gives 34 crore for both total and property – confirm</t>
  </si>
  <si>
    <t xml:space="preserve">C08</t>
  </si>
  <si>
    <t xml:space="preserve">Judiciary Chain</t>
  </si>
  <si>
    <t xml:space="preserve">Supreme Court bail and judgment orders recorded; proposed uses: judicial deposits, FIR/charge-sheet transfer, e-summons</t>
  </si>
  <si>
    <t xml:space="preserve">NIC with Supreme Court of India</t>
  </si>
  <si>
    <t xml:space="preserve">Ministry of Law &amp; Justice / Judiciary</t>
  </si>
  <si>
    <t xml:space="preserve">Justice &amp; Police</t>
  </si>
  <si>
    <t xml:space="preserve">Public order and safety</t>
  </si>
  <si>
    <t xml:space="preserve">Tampering of records</t>
  </si>
  <si>
    <t xml:space="preserve">Live (Supreme Court)</t>
  </si>
  <si>
    <t xml:space="preserve">2026-10-14</t>
  </si>
  <si>
    <t xml:space="preserve">2023-11-13</t>
  </si>
  <si>
    <t xml:space="preserve">447 documents; 987 verifications (NIC statistics, 2026-10-14)</t>
  </si>
  <si>
    <t xml:space="preserve">C09</t>
  </si>
  <si>
    <t xml:space="preserve">Inter-operable Criminal Justice System chain</t>
  </si>
  <si>
    <t xml:space="preserve">Links police, forensic and court records; live for High Court of Karnataka</t>
  </si>
  <si>
    <t xml:space="preserve">NIC – ICJS with High Court of Karnataka</t>
  </si>
  <si>
    <t xml:space="preserve">Ministry of Home Affairs / Judiciary</t>
  </si>
  <si>
    <t xml:space="preserve">Live; grew from 39,000 docs (Oct 2025) to 17.4 lakh</t>
  </si>
  <si>
    <t xml:space="preserve">2025-10</t>
  </si>
  <si>
    <t xml:space="preserve">17,41,654 documents; 21,62,694 verifications (NIC statistics, 2026-10-14)</t>
  </si>
  <si>
    <t xml:space="preserve">C10</t>
  </si>
  <si>
    <t xml:space="preserve">NIC PoCs: Assam land records, Blood Bank chain, GST Chain, PDS chain</t>
  </si>
  <si>
    <t xml:space="preserve">Blood bank: safe-blood and donor traceability; GST: running tax liability ledger; PDS: grain from MSP procurement to ration card</t>
  </si>
  <si>
    <t xml:space="preserve">Planned</t>
  </si>
  <si>
    <t xml:space="preserve">Listed as PoCs on NIC dashboard</t>
  </si>
  <si>
    <t xml:space="preserve">4 PoCs</t>
  </si>
  <si>
    <t xml:space="preserve">C11</t>
  </si>
  <si>
    <t xml:space="preserve">Legal Metrology approvals on NIC Document Chain</t>
  </si>
  <si>
    <t xml:space="preserve">Packaged commodity registration, weights &amp; measures approvals, importer certificates</t>
  </si>
  <si>
    <t xml:space="preserve">Dept of Consumer Affairs – Legal Metrology</t>
  </si>
  <si>
    <t xml:space="preserve">Ministry of Consumer Affairs, Food &amp; PD</t>
  </si>
  <si>
    <t xml:space="preserve">23,047 documents; 16 verifications (NIC statistics, 2026-10-14)</t>
  </si>
  <si>
    <t xml:space="preserve">C12</t>
  </si>
  <si>
    <t xml:space="preserve">Skill documents on NIC Document Chain</t>
  </si>
  <si>
    <t xml:space="preserve">Rural skills (training) documents recorded for verification</t>
  </si>
  <si>
    <t xml:space="preserve">Ministry of Rural Development – Rural Skills Division</t>
  </si>
  <si>
    <t xml:space="preserve">Ministry of Rural Development</t>
  </si>
  <si>
    <t xml:space="preserve">Education &amp; Skills</t>
  </si>
  <si>
    <t xml:space="preserve">Education</t>
  </si>
  <si>
    <t xml:space="preserve">Live (small scale)</t>
  </si>
  <si>
    <t xml:space="preserve">4,553 documents; 1,702 verifications (NIC statistics, 2026-10-14)</t>
  </si>
  <si>
    <t xml:space="preserve">Confirm which scheme (e.g. DDU-GKY)</t>
  </si>
  <si>
    <t xml:space="preserve">C13</t>
  </si>
  <si>
    <t xml:space="preserve">CBDC-based DBT for food subsidy (PMGKAY)</t>
  </si>
  <si>
    <t xml:space="preserve">Programmable e₹ in beneficiary wallets, redeemable for wheat/rice at authorised shops</t>
  </si>
  <si>
    <t xml:space="preserve">Dept of Food &amp; Public Distribution with RBI, PFMS, Canara Bank</t>
  </si>
  <si>
    <t xml:space="preserve">Welfare &amp; Subsidy</t>
  </si>
  <si>
    <t xml:space="preserve">Social protection</t>
  </si>
  <si>
    <t xml:space="preserve">Leakage / beneficiary fraud</t>
  </si>
  <si>
    <t xml:space="preserve">CBDC (e₹) – DLT use not confirmed by RBI</t>
  </si>
  <si>
    <t xml:space="preserve">RBI CBDC infrastructure</t>
  </si>
  <si>
    <t xml:space="preserve">CBDC infrastructure</t>
  </si>
  <si>
    <t xml:space="preserve">CBDC (DLT not confirmed)</t>
  </si>
  <si>
    <t xml:space="preserve">RBI, Canara Bank</t>
  </si>
  <si>
    <t xml:space="preserve">Rolling out; full coverage of eligible beneficiaries in Chandigarh &amp; DNH</t>
  </si>
  <si>
    <t xml:space="preserve">2026-08-14</t>
  </si>
  <si>
    <t xml:space="preserve">2026-02</t>
  </si>
  <si>
    <t xml:space="preserve">0.2</t>
  </si>
  <si>
    <t xml:space="preserve">Target: 80 crore PDS beneficiaries nationally</t>
  </si>
  <si>
    <t xml:space="preserve">https://www.pib.gov.in/PressReleseDetailm.aspx?PRID=2233186&amp;reg=3&amp;lang=1</t>
  </si>
  <si>
    <t xml:space="preserve">Treat as digital currency, not proven blockchain</t>
  </si>
  <si>
    <t xml:space="preserve">C14</t>
  </si>
  <si>
    <t xml:space="preserve">Blockchain solutions with NIC (details not public)</t>
  </si>
  <si>
    <t xml:space="preserve">Named by MeitY as developing blockchain solutions</t>
  </si>
  <si>
    <t xml:space="preserve">Ministry of Corporate Affairs</t>
  </si>
  <si>
    <t xml:space="preserve">Grievance &amp; Records</t>
  </si>
  <si>
    <t xml:space="preserve">Development stage</t>
  </si>
  <si>
    <t xml:space="preserve">2024-12-16</t>
  </si>
  <si>
    <t xml:space="preserve">1.8</t>
  </si>
  <si>
    <t xml:space="preserve">3 – Mainstream news</t>
  </si>
  <si>
    <t xml:space="preserve">https://www.medianama.com/2024/12/223-blockchain-land-use-pilot-karnataka-jharkhandd/</t>
  </si>
  <si>
    <t xml:space="preserve">Scope not public</t>
  </si>
  <si>
    <t xml:space="preserve">C15</t>
  </si>
  <si>
    <t xml:space="preserve">Kasturi Cotton Bharat – blockchain traceability</t>
  </si>
  <si>
    <t xml:space="preserve">QR certification at each stage plus blockchain platform for end-to-end traceability and transaction certificates</t>
  </si>
  <si>
    <t xml:space="preserve">Ministry of Textiles – Cotton Corporation of India &amp; TEXPROCIL</t>
  </si>
  <si>
    <t xml:space="preserve">Ministry of Textiles</t>
  </si>
  <si>
    <t xml:space="preserve">Agriculture &amp; Trade</t>
  </si>
  <si>
    <t xml:space="preserve">Lack of traceability / counterfeits</t>
  </si>
  <si>
    <t xml:space="preserve">CCI, TEXPROCIL</t>
  </si>
  <si>
    <t xml:space="preserve">Operational nationwide</t>
  </si>
  <si>
    <t xml:space="preserve">2026-08-06</t>
  </si>
  <si>
    <t xml:space="preserve">2022-12-15</t>
  </si>
  <si>
    <t xml:space="preserve">2024-08-06</t>
  </si>
  <si>
    <t xml:space="preserve">₹30 crore budget; 343 ginning units registered</t>
  </si>
  <si>
    <t xml:space="preserve">https://www.pib.gov.in/PressReleasePage.aspx?PRID=2042089</t>
  </si>
  <si>
    <t xml:space="preserve">C16</t>
  </si>
  <si>
    <t xml:space="preserve">PM Rashtriya Bal Puraskar certificates on blockchain</t>
  </si>
  <si>
    <t xml:space="preserve">Award certificates issued as blockchain digital certificates (IIT Kanpur National Blockchain Project)</t>
  </si>
  <si>
    <t xml:space="preserve">Ministry of Women &amp; Child Development</t>
  </si>
  <si>
    <t xml:space="preserve">IIT Kanpur NBP platform</t>
  </si>
  <si>
    <t xml:space="preserve">IIT Kanpur NBP</t>
  </si>
  <si>
    <t xml:space="preserve">Other enterprise DLT</t>
  </si>
  <si>
    <t xml:space="preserve">IIT Kanpur, CRUBN</t>
  </si>
  <si>
    <t xml:space="preserve">Issued digitally for 2021 &amp; 2022 awards</t>
  </si>
  <si>
    <t xml:space="preserve">2022-01-24</t>
  </si>
  <si>
    <t xml:space="preserve">2022-01-21</t>
  </si>
  <si>
    <t xml:space="preserve">4.7</t>
  </si>
  <si>
    <t xml:space="preserve">61 awardees</t>
  </si>
  <si>
    <t xml:space="preserve">4 – Official document (govt site, PIB, tender, court)</t>
  </si>
  <si>
    <t xml:space="preserve">https://www.pib.gov.in/PressReleaseIframePage.aspx?PRID=1792136</t>
  </si>
  <si>
    <t xml:space="preserve">C17</t>
  </si>
  <si>
    <t xml:space="preserve">Blockchain-based tamper-proof railway signalling</t>
  </si>
  <si>
    <t xml:space="preserve">Distributed ledger for signal records and smart-contract automation</t>
  </si>
  <si>
    <t xml:space="preserve">Ministry of Railways with IIT Kharagpur &amp; IIT Bhubaneswar</t>
  </si>
  <si>
    <t xml:space="preserve">Ministry of Railways</t>
  </si>
  <si>
    <t xml:space="preserve">Transport</t>
  </si>
  <si>
    <t xml:space="preserve">Not stated</t>
  </si>
  <si>
    <t xml:space="preserve">IIT KGP, IIT BBS</t>
  </si>
  <si>
    <t xml:space="preserve">Under development / testing; approved by Railway Minister</t>
  </si>
  <si>
    <t xml:space="preserve">2023-07-11</t>
  </si>
  <si>
    <t xml:space="preserve">2023-06</t>
  </si>
  <si>
    <t xml:space="preserve">3.3</t>
  </si>
  <si>
    <t xml:space="preserve">https://www.freepressjournal.in/education/iit-kharagpur-developing-tamper-proof-signalling-system-for-safety-of-trains</t>
  </si>
  <si>
    <t xml:space="preserve">C18</t>
  </si>
  <si>
    <t xml:space="preserve">Fertilizer subsidy supply-chain pilot (GNFC)</t>
  </si>
  <si>
    <t xml:space="preserve">Automated quantity certification and claims to cut subsidy reimbursement time</t>
  </si>
  <si>
    <t xml:space="preserve">NITI Aayog</t>
  </si>
  <si>
    <t xml:space="preserve">PwC, Intel, GNFC</t>
  </si>
  <si>
    <t xml:space="preserve">PoC done; lessons published</t>
  </si>
  <si>
    <t xml:space="preserve">2020-01</t>
  </si>
  <si>
    <t xml:space="preserve">2018-06-29</t>
  </si>
  <si>
    <t xml:space="preserve">6.7</t>
  </si>
  <si>
    <t xml:space="preserve">T1</t>
  </si>
  <si>
    <t xml:space="preserve">Technology</t>
  </si>
  <si>
    <t xml:space="preserve">https://www.niti.gov.in/sites/default/files/2020-01/Blockchain_The_India_Strategy_Part_I.pdf</t>
  </si>
  <si>
    <t xml:space="preserve">C19</t>
  </si>
  <si>
    <t xml:space="preserve">Drug supply chain pilot (blockchain + IoT)</t>
  </si>
  <si>
    <t xml:space="preserve">Track drugs from manufacturer to patient to stop fake medicines</t>
  </si>
  <si>
    <t xml:space="preserve">Health &amp; Supply Chain</t>
  </si>
  <si>
    <t xml:space="preserve">Health</t>
  </si>
  <si>
    <t xml:space="preserve">Oracle Blockchain</t>
  </si>
  <si>
    <t xml:space="preserve">Oracle, Apollo Hospitals, Strides Pharma</t>
  </si>
  <si>
    <t xml:space="preserve">Pilot executed (reported in NITI Aayog draft strategy, Jan 2020); no follow-up found</t>
  </si>
  <si>
    <t xml:space="preserve">2018-09-28</t>
  </si>
  <si>
    <t xml:space="preserve">E2;T1;T2</t>
  </si>
  <si>
    <t xml:space="preserve">Environment;Technology</t>
  </si>
  <si>
    <t xml:space="preserve">v1.1: official PIB release (Sep 2018) and NITI Aayog draft strategy (Jan 2020) found; the strategy reports the pilot as executed.</t>
  </si>
  <si>
    <t xml:space="preserve">C20</t>
  </si>
  <si>
    <t xml:space="preserve">IndiaChain – national blockchain network</t>
  </si>
  <si>
    <t xml:space="preserve">Proposed common national blockchain infrastructure</t>
  </si>
  <si>
    <t xml:space="preserve">Unclear</t>
  </si>
  <si>
    <t xml:space="preserve">No separate launch; idea later taken up by MeitY's NBF</t>
  </si>
  <si>
    <t xml:space="preserve">2022-10-18</t>
  </si>
  <si>
    <t xml:space="preserve">2017-11-13</t>
  </si>
  <si>
    <t xml:space="preserve">4.0</t>
  </si>
  <si>
    <t xml:space="preserve">E1;T3</t>
  </si>
  <si>
    <t xml:space="preserve">https://www.investindia.gov.in/team-india-blogs/implementing-blockchain-india</t>
  </si>
  <si>
    <t xml:space="preserve">O01</t>
  </si>
  <si>
    <t xml:space="preserve">Digital Rupee – wholesale (e₹-W) and retail (e₹-R) CBDC</t>
  </si>
  <si>
    <t xml:space="preserve">CBDC pilots: wholesale for govt securities; retail token wallets via banks; offline and programmable features</t>
  </si>
  <si>
    <t xml:space="preserve">Reserve Bank of India</t>
  </si>
  <si>
    <t xml:space="preserve">Central bank</t>
  </si>
  <si>
    <t xml:space="preserve">Other public body</t>
  </si>
  <si>
    <t xml:space="preserve">Finance &amp; Payments</t>
  </si>
  <si>
    <t xml:space="preserve">Payment efficiency &amp; programmability</t>
  </si>
  <si>
    <t xml:space="preserve">Not publicly confirmed as DLT</t>
  </si>
  <si>
    <t xml:space="preserve">Pilot banks &amp; non-banks</t>
  </si>
  <si>
    <t xml:space="preserve">Still in pilot; ~10 million retail users; extended to subsidies (PDS)</t>
  </si>
  <si>
    <t xml:space="preserve">2026-10-01</t>
  </si>
  <si>
    <t xml:space="preserve">2022-02-01</t>
  </si>
  <si>
    <t xml:space="preserve">2022-11-01</t>
  </si>
  <si>
    <t xml:space="preserve">19 pilot banks; ₹1,016 crore in circulation (Mar 2025)</t>
  </si>
  <si>
    <t xml:space="preserve">E2</t>
  </si>
  <si>
    <t xml:space="preserve">Environment</t>
  </si>
  <si>
    <t xml:space="preserve">https://www.rbi.org.in/commonman/English/scripts/FAQs.aspx?Id=3686</t>
  </si>
  <si>
    <t xml:space="preserve">Do not call e₹ blockchain-based without RBI source</t>
  </si>
  <si>
    <t xml:space="preserve">O02</t>
  </si>
  <si>
    <t xml:space="preserve">Blockchain letter-of-credit trade finance pilot</t>
  </si>
  <si>
    <t xml:space="preserve">Digital LCs to stop document tampering</t>
  </si>
  <si>
    <t xml:space="preserve">RBI with SBI, HDFC Bank, ICICI Bank</t>
  </si>
  <si>
    <t xml:space="preserve">Market transparency &amp; settlement risk</t>
  </si>
  <si>
    <t xml:space="preserve">Corda / IBM / SettleMint</t>
  </si>
  <si>
    <t xml:space="preserve">Corda / IBM</t>
  </si>
  <si>
    <t xml:space="preserve">IBM, Corda, SettleMint</t>
  </si>
  <si>
    <t xml:space="preserve">PoC stage reported</t>
  </si>
  <si>
    <t xml:space="preserve">2024-12-30</t>
  </si>
  <si>
    <t xml:space="preserve">2022-06-23</t>
  </si>
  <si>
    <t xml:space="preserve">2022-06</t>
  </si>
  <si>
    <t xml:space="preserve">2022-07</t>
  </si>
  <si>
    <t xml:space="preserve">O3;T1</t>
  </si>
  <si>
    <t xml:space="preserve">https://rbihub.in/wp-content/uploads/2023/04/RBIH-Interoperable-DLT-PoC-Closure-Report.pdf</t>
  </si>
  <si>
    <t xml:space="preserve">O03</t>
  </si>
  <si>
    <t xml:space="preserve">Invoice tokenisation for MSME supply-chain finance</t>
  </si>
  <si>
    <t xml:space="preserve">Tokenises accepted supplier invoices; lenders finance against tokens</t>
  </si>
  <si>
    <t xml:space="preserve">RBI Regulatory Sandbox – IBDIC (bank-owned)</t>
  </si>
  <si>
    <t xml:space="preserve">ICICI, HDFC, Yes Bank, Aditya Birla Capital</t>
  </si>
  <si>
    <t xml:space="preserve">Exited sandbox; may be adopted by regulated entities</t>
  </si>
  <si>
    <t xml:space="preserve">2025-08-27</t>
  </si>
  <si>
    <t xml:space="preserve">2024-07-26</t>
  </si>
  <si>
    <t xml:space="preserve">2024-08</t>
  </si>
  <si>
    <t xml:space="preserve">2025-08-14</t>
  </si>
  <si>
    <t xml:space="preserve">1.1</t>
  </si>
  <si>
    <t xml:space="preserve">https://www.rbi.org.in/scripts/BS_PressReleaseDisplay.aspx?prid=58377</t>
  </si>
  <si>
    <t xml:space="preserve">O04</t>
  </si>
  <si>
    <t xml:space="preserve">Trade finance &amp; payments PoCs</t>
  </si>
  <si>
    <t xml:space="preserve">Letter of credit and payment PoCs with banks</t>
  </si>
  <si>
    <t xml:space="preserve">RBI – IDRBT</t>
  </si>
  <si>
    <t xml:space="preserve">Central bank (research arm)</t>
  </si>
  <si>
    <t xml:space="preserve">MonetaGo (with NPCI and banks)</t>
  </si>
  <si>
    <t xml:space="preserve">PoCs completed</t>
  </si>
  <si>
    <t xml:space="preserve">2017-01</t>
  </si>
  <si>
    <t xml:space="preserve">8.3</t>
  </si>
  <si>
    <t xml:space="preserve">O05</t>
  </si>
  <si>
    <t xml:space="preserve">DLT security &amp; covenant monitoring for NCDs</t>
  </si>
  <si>
    <t xml:space="preserve">Records asset charges, asset cover, covenants and ratings of debentures</t>
  </si>
  <si>
    <t xml:space="preserve">SEBI with NSDL &amp; CDSL</t>
  </si>
  <si>
    <t xml:space="preserve">Capital markets regulator</t>
  </si>
  <si>
    <t xml:space="preserve">Permissioned DLT (2 depository nodes)</t>
  </si>
  <si>
    <t xml:space="preserve">Depository / regulator DLT</t>
  </si>
  <si>
    <t xml:space="preserve">NSDL, CDSL</t>
  </si>
  <si>
    <t xml:space="preserve">Mandatory and operational (NSDL 'DeLiTe' platform)</t>
  </si>
  <si>
    <t xml:space="preserve">2021-08-13</t>
  </si>
  <si>
    <t xml:space="preserve">2022-04-01</t>
  </si>
  <si>
    <t xml:space="preserve">550+ issuers; 3,800+ secured ISINs (~90% of outstanding) per deck</t>
  </si>
  <si>
    <t xml:space="preserve">Deck cites Cognizant case study for numbers Cognizant case study (data as of 28 Nov 2024) reports 4,291 issuers and 6,368 secured ISINs, higher than the deck figures.</t>
  </si>
  <si>
    <t xml:space="preserve">O06</t>
  </si>
  <si>
    <t xml:space="preserve">DLT for commercial SMS / telemarketing</t>
  </si>
  <si>
    <t xml:space="preserve">Senders and telemarketers register message chains; end-to-end SMS tracking</t>
  </si>
  <si>
    <t xml:space="preserve">TRAI</t>
  </si>
  <si>
    <t xml:space="preserve">Telecom regulator</t>
  </si>
  <si>
    <t xml:space="preserve">Permissioned DLT</t>
  </si>
  <si>
    <t xml:space="preserve">Telcos, RBI, SEBI, NIC, C-DAC</t>
  </si>
  <si>
    <t xml:space="preserve">2018-07-19</t>
  </si>
  <si>
    <t xml:space="preserve">2021-03-08</t>
  </si>
  <si>
    <t xml:space="preserve">2024-12-11</t>
  </si>
  <si>
    <t xml:space="preserve">1.13 lakh+ entities</t>
  </si>
  <si>
    <t xml:space="preserve">O07</t>
  </si>
  <si>
    <t xml:space="preserve">Remote Voting Chain – PoC for migrant/in-service voters</t>
  </si>
  <si>
    <t xml:space="preserve">Encrypted remote votes stored on blockchain; only the parent-constituency returning officer can decrypt on counting day</t>
  </si>
  <si>
    <t xml:space="preserve">Election Commission of India with NIC (and IIT Madras research)</t>
  </si>
  <si>
    <t xml:space="preserve">Constitutional body</t>
  </si>
  <si>
    <t xml:space="preserve">Elections</t>
  </si>
  <si>
    <t xml:space="preserve">Voter access &amp; vote integrity</t>
  </si>
  <si>
    <t xml:space="preserve">NIC; IIT Madras</t>
  </si>
  <si>
    <t xml:space="preserve">PoC built per ECI directions and demonstrated; no rollout</t>
  </si>
  <si>
    <t xml:space="preserve">2022-01</t>
  </si>
  <si>
    <t xml:space="preserve">2020-02</t>
  </si>
  <si>
    <t xml:space="preserve">E2;T3</t>
  </si>
  <si>
    <t xml:space="preserve">https://blockchain.gov.in/Home/CaseStudy?CaseStudy=remotevotingchain</t>
  </si>
  <si>
    <t xml:space="preserve">O08</t>
  </si>
  <si>
    <t xml:space="preserve">eCourts Phase III vision: digital signatures &amp; blockchain for document authentication</t>
  </si>
  <si>
    <t xml:space="preserve">Vision document lists blockchain (with digital signatures) to secure and authenticate court documents</t>
  </si>
  <si>
    <t xml:space="preserve">Supreme Court of India – e-Committee</t>
  </si>
  <si>
    <t xml:space="preserve">Judiciary</t>
  </si>
  <si>
    <t xml:space="preserve">Not specified</t>
  </si>
  <si>
    <t xml:space="preserve">Proposed in vision; no blockchain-specific rollout published</t>
  </si>
  <si>
    <t xml:space="preserve">2025-12-19</t>
  </si>
  <si>
    <t xml:space="preserve">2022-09-23</t>
  </si>
  <si>
    <t xml:space="preserve">0.8</t>
  </si>
  <si>
    <t xml:space="preserve">https://cdnbbsr.s3waas.gov.in/s35d6646aad9bcc0be55b2c82f69750387/uploads/2024/07/202407161620804267.pdf</t>
  </si>
  <si>
    <t xml:space="preserve">Only one line in the vision document</t>
  </si>
  <si>
    <t xml:space="preserve">O09</t>
  </si>
  <si>
    <t xml:space="preserve">Samiullah v. State of Bihar (2025 INSC 1292) – blockchain for land registration</t>
  </si>
  <si>
    <t xml:space="preserve">Bench suggested blockchain to make land registration tamper-proof; asked Law Commission to study reform and Union to set up a body with States</t>
  </si>
  <si>
    <t xml:space="preserve">Supreme Court of India (judgment)</t>
  </si>
  <si>
    <t xml:space="preserve">Judicial recommendation; Law Commission study requested</t>
  </si>
  <si>
    <t xml:space="preserve">2026-01-22</t>
  </si>
  <si>
    <t xml:space="preserve">2025-11-07</t>
  </si>
  <si>
    <t xml:space="preserve">0.7</t>
  </si>
  <si>
    <t xml:space="preserve">Property disputes ≈66% of civil cases (as cited)</t>
  </si>
  <si>
    <t xml:space="preserve">E1;O4;T4</t>
  </si>
  <si>
    <t xml:space="preserve">Environment;Organisation;Technology</t>
  </si>
  <si>
    <t xml:space="preserve">https://www.lawcurb.in/judgements/samiullah-vs-the-state-of-bihar-&amp;-ors-2025-insc-1292</t>
  </si>
  <si>
    <t xml:space="preserve">O10</t>
  </si>
  <si>
    <t xml:space="preserve">Asset tokenisation with wholesale CBDC settlement</t>
  </si>
  <si>
    <t xml:space="preserve">Tokenised certificates of deposit and bonds settled atomically in wholesale e₹ on a depository-run ledger</t>
  </si>
  <si>
    <t xml:space="preserve">RBI with depositories – Unified Markets Interface (UMI)</t>
  </si>
  <si>
    <t xml:space="preserve">Asset liquidity / digital ownership</t>
  </si>
  <si>
    <t xml:space="preserve">DLT run by depositories + wholesale CBDC</t>
  </si>
  <si>
    <t xml:space="preserve">NSDL/CDSL; issuers incl. REC (state-owned)</t>
  </si>
  <si>
    <t xml:space="preserve">CD pilot (2025); bond pilot (Sep 2026) – REC ₹500 crore, L&amp;T ₹500 crore, IIFL ₹25 crore</t>
  </si>
  <si>
    <t xml:space="preserve">2026-09-11</t>
  </si>
  <si>
    <t xml:space="preserve">2025-10-08</t>
  </si>
  <si>
    <t xml:space="preserve">0.1</t>
  </si>
  <si>
    <t xml:space="preserve">₹1,025 crore (~$107M) bond pilot</t>
  </si>
  <si>
    <t xml:space="preserve">https://www.bis.org/review/r251014b.pdf</t>
  </si>
  <si>
    <t xml:space="preserve">O11</t>
  </si>
  <si>
    <t xml:space="preserve">Digi Yatra – paperless air travel with self-sovereign identity</t>
  </si>
  <si>
    <t xml:space="preserve">Face-based boarding; data encrypted, kept on passenger phone, blockchain used for storage (Minister)</t>
  </si>
  <si>
    <t xml:space="preserve">DigiYatra Foundation (Ministry of Civil Aviation; AAI stakeholder)</t>
  </si>
  <si>
    <t xml:space="preserve">Ministry of Civil Aviation</t>
  </si>
  <si>
    <t xml:space="preserve">Identity verification &amp; privacy</t>
  </si>
  <si>
    <t xml:space="preserve">Hyperledger-based SSI (per deck)</t>
  </si>
  <si>
    <t xml:space="preserve">Hyperledger (other)</t>
  </si>
  <si>
    <t xml:space="preserve">Live and expanding</t>
  </si>
  <si>
    <t xml:space="preserve">2026-09-21</t>
  </si>
  <si>
    <t xml:space="preserve">2018-10-04</t>
  </si>
  <si>
    <t xml:space="preserve">2021-12-16</t>
  </si>
  <si>
    <t xml:space="preserve">2022-12-01</t>
  </si>
  <si>
    <t xml:space="preserve">2024-09-06</t>
  </si>
  <si>
    <t xml:space="preserve">24 airports, 16 million users (deck, Dec 2025)</t>
  </si>
  <si>
    <t xml:space="preserve">E1;O3;O4;T3</t>
  </si>
  <si>
    <t xml:space="preserve">https://www.pib.gov.in/newsite/printrelease.aspx?relid=183958&amp;reg=48&amp;lang=2</t>
  </si>
  <si>
    <t xml:space="preserve">O12</t>
  </si>
  <si>
    <t xml:space="preserve">Blockchain traceability for Gir cow ghee (and Badri ghee)</t>
  </si>
  <si>
    <t xml:space="preserve">QR on pack shows farm-to-table journey; linked with Bharat Pashudhan traceability</t>
  </si>
  <si>
    <t xml:space="preserve">NDDB / Mother Dairy with GS1 India</t>
  </si>
  <si>
    <t xml:space="preserve">Ministry of Cooperation / Dept of Animal Husbandry &amp; Dairying</t>
  </si>
  <si>
    <t xml:space="preserve">Hyperledger Fabric (Spydra)</t>
  </si>
  <si>
    <t xml:space="preserve">GS1 India, Spydra</t>
  </si>
  <si>
    <t xml:space="preserve">Live; showcased in Republic Day 2025 tableau (per deck)</t>
  </si>
  <si>
    <t xml:space="preserve">2025-12</t>
  </si>
  <si>
    <t xml:space="preserve">2024-07-11</t>
  </si>
  <si>
    <t xml:space="preserve">2024-10-22</t>
  </si>
  <si>
    <t xml:space="preserve">~10,000 farmers; ~20,000 cattle (Junagadh)</t>
  </si>
  <si>
    <t xml:space="preserve">https://www.nddb.coop/node/2436</t>
  </si>
  <si>
    <t xml:space="preserve">NDDB page says 'Bharat Pashudhan'; blockchain per GS1/vendor</t>
  </si>
  <si>
    <t xml:space="preserve">O13</t>
  </si>
  <si>
    <t xml:space="preserve">NFT souvenir train tickets (Holi 2024; MahaKumbh 2025)</t>
  </si>
  <si>
    <t xml:space="preserve">Travel to MahaKumbh recorded as verifiable NFT</t>
  </si>
  <si>
    <t xml:space="preserve">IRCTC (Ministry of Railways PSU)</t>
  </si>
  <si>
    <t xml:space="preserve">Digital souvenirs / ownership</t>
  </si>
  <si>
    <t xml:space="preserve">Polygon (public)</t>
  </si>
  <si>
    <t xml:space="preserve">Polygon</t>
  </si>
  <si>
    <t xml:space="preserve">Ethereum / EVM chains</t>
  </si>
  <si>
    <t xml:space="preserve">Public</t>
  </si>
  <si>
    <t xml:space="preserve">Chaincode Consulting, NFTtrace</t>
  </si>
  <si>
    <t xml:space="preserve">Issued for events</t>
  </si>
  <si>
    <t xml:space="preserve">2025-01-13</t>
  </si>
  <si>
    <t xml:space="preserve">2024-03</t>
  </si>
  <si>
    <t xml:space="preserve">2 – Trade/crypto press or secondary (eBook, deck, blog)</t>
  </si>
  <si>
    <t xml:space="preserve">https://cointelegraph.com/news/indian-railways-nft-tickets-mahakumbh-mela</t>
  </si>
  <si>
    <t xml:space="preserve">O14</t>
  </si>
  <si>
    <t xml:space="preserve">Academic documents on NIC Certificate Chain (cbse.certchain.nic.in)</t>
  </si>
  <si>
    <t xml:space="preserve">Tamper-proof academic records verifiable online</t>
  </si>
  <si>
    <t xml:space="preserve">Central Board of Secondary Education (CBSE)</t>
  </si>
  <si>
    <t xml:space="preserve">Ministry of Education</t>
  </si>
  <si>
    <t xml:space="preserve">Live – 2nd largest NIC chain by documents</t>
  </si>
  <si>
    <t xml:space="preserve">2021-09-22</t>
  </si>
  <si>
    <t xml:space="preserve">2,10,71,556 documents; 85,261 verifications (NIC statistics, 2026-10-14)</t>
  </si>
  <si>
    <t xml:space="preserve">O15</t>
  </si>
  <si>
    <t xml:space="preserve">Blockchain digital degrees &amp; certificates</t>
  </si>
  <si>
    <t xml:space="preserve">Forgery-proof, verifiable digital certificates (IIT Kanpur degrees, PM Bal Puraskar) and self-sovereign identity (SSI) ID cards for IITK employees</t>
  </si>
  <si>
    <t xml:space="preserve">IIT Kanpur – National Blockchain Project (NSCS-coordinated)</t>
  </si>
  <si>
    <t xml:space="preserve">Ministry of Education / NSCS</t>
  </si>
  <si>
    <t xml:space="preserve">CRUBN</t>
  </si>
  <si>
    <t xml:space="preserve">In use</t>
  </si>
  <si>
    <t xml:space="preserve">2021-12-28</t>
  </si>
  <si>
    <t xml:space="preserve">https://www.pib.gov.in/Pressreleaseshare.aspx?PRID=1785750&amp;reg=3&amp;lang=2</t>
  </si>
  <si>
    <t xml:space="preserve">O16</t>
  </si>
  <si>
    <t xml:space="preserve">Blockchain coffee e-marketplace</t>
  </si>
  <si>
    <t xml:space="preserve">Bean-to-cup traceability; fewer middlemen</t>
  </si>
  <si>
    <t xml:space="preserve">Coffee Board of India</t>
  </si>
  <si>
    <t xml:space="preserve">Ministry of Commerce &amp; Industry</t>
  </si>
  <si>
    <t xml:space="preserve">Ethereum</t>
  </si>
  <si>
    <t xml:space="preserve">Eka Plus</t>
  </si>
  <si>
    <t xml:space="preserve">Grew to ~30,000 farmers; no later status</t>
  </si>
  <si>
    <t xml:space="preserve">2019-03-28</t>
  </si>
  <si>
    <t xml:space="preserve">5.3</t>
  </si>
  <si>
    <t xml:space="preserve">~30,000 farmers</t>
  </si>
  <si>
    <t xml:space="preserve">https://www.ledgerinsights.com/blockchain-coffee-food-traceability-india/</t>
  </si>
  <si>
    <t xml:space="preserve">O17</t>
  </si>
  <si>
    <t xml:space="preserve">Spice traceability &amp; trading (eSpiceBazaar)</t>
  </si>
  <si>
    <t xml:space="preserve">Traceability for chilli and turmeric with GS1 farm IDs, linked to e-Spice Bazaar</t>
  </si>
  <si>
    <t xml:space="preserve">Spices Board with UNDP &amp; GS1 India</t>
  </si>
  <si>
    <t xml:space="preserve">UNDP Accelerator Lab, GS1 India</t>
  </si>
  <si>
    <t xml:space="preserve">Pilot in select AP districts; no later status found</t>
  </si>
  <si>
    <t xml:space="preserve">2021-04-05</t>
  </si>
  <si>
    <t xml:space="preserve">5.5</t>
  </si>
  <si>
    <t xml:space="preserve">3,000+ farmers (pilot)</t>
  </si>
  <si>
    <t xml:space="preserve">https://www.pib.gov.in/PressReleseDetailm.aspx?PRID=1709674&amp;reg=3&amp;lang=2</t>
  </si>
  <si>
    <t xml:space="preserve">O18</t>
  </si>
  <si>
    <t xml:space="preserve">UIDAI; SPMCIL; Cotton Corporation of India; Forensic Science Laboratory</t>
  </si>
  <si>
    <t xml:space="preserve">Various ministries</t>
  </si>
  <si>
    <t xml:space="preserve">2024-12</t>
  </si>
  <si>
    <t xml:space="preserve">O19</t>
  </si>
  <si>
    <t xml:space="preserve">Tamper-proof eStamp transaction records</t>
  </si>
  <si>
    <t xml:space="preserve">eStamp records on blockchain</t>
  </si>
  <si>
    <t xml:space="preserve">Govt financial agencies (eStamp)</t>
  </si>
  <si>
    <t xml:space="preserve">Ministry of Finance</t>
  </si>
  <si>
    <t xml:space="preserve">Mentioned in MeitY reply</t>
  </si>
  <si>
    <t xml:space="preserve">Confirm agency</t>
  </si>
  <si>
    <t xml:space="preserve">S01</t>
  </si>
  <si>
    <t xml:space="preserve">Land records on blockchain – Amaravati capital region</t>
  </si>
  <si>
    <t xml:space="preserve">Secure land records against tampering; India's first state blockchain pilot</t>
  </si>
  <si>
    <t xml:space="preserve">Revenue Dept / CRDA</t>
  </si>
  <si>
    <t xml:space="preserve">Andhra Pradesh</t>
  </si>
  <si>
    <t xml:space="preserve">State / UT government</t>
  </si>
  <si>
    <t xml:space="preserve">IN-AP</t>
  </si>
  <si>
    <t xml:space="preserve">28</t>
  </si>
  <si>
    <t xml:space="preserve">Private chains</t>
  </si>
  <si>
    <t xml:space="preserve">Zebi Data, ChromaWay</t>
  </si>
  <si>
    <t xml:space="preserve">100,000+ records secured in pilot</t>
  </si>
  <si>
    <t xml:space="preserve">2019-12-16</t>
  </si>
  <si>
    <t xml:space="preserve">2017-10-10</t>
  </si>
  <si>
    <t xml:space="preserve">2017-12</t>
  </si>
  <si>
    <t xml:space="preserve">6.8</t>
  </si>
  <si>
    <t xml:space="preserve">100,000+ records</t>
  </si>
  <si>
    <t xml:space="preserve">T3;T4</t>
  </si>
  <si>
    <t xml:space="preserve">https://www.forbes.com/sites/outofasia/2018/03/05/this-indian-city-is-embracing-blockchain-technology-heres-why/</t>
  </si>
  <si>
    <t xml:space="preserve">S02</t>
  </si>
  <si>
    <t xml:space="preserve">Vehicle registration pilot</t>
  </si>
  <si>
    <t xml:space="preserve">Early AP pilot alongside land records</t>
  </si>
  <si>
    <t xml:space="preserve">Transport Dept</t>
  </si>
  <si>
    <t xml:space="preserve">No update after pilot</t>
  </si>
  <si>
    <t xml:space="preserve">2018-03-05</t>
  </si>
  <si>
    <t xml:space="preserve">8.6</t>
  </si>
  <si>
    <t xml:space="preserve">S03</t>
  </si>
  <si>
    <t xml:space="preserve">Civil supplies &amp; pension databases on blockchain</t>
  </si>
  <si>
    <t xml:space="preserve">Plan to move ration card and pension data to blockchain</t>
  </si>
  <si>
    <t xml:space="preserve">Civil Supplies / Revenue Dept</t>
  </si>
  <si>
    <t xml:space="preserve">Snapper Future Tech</t>
  </si>
  <si>
    <t xml:space="preserve">Announced; rollout not confirmed</t>
  </si>
  <si>
    <t xml:space="preserve">2017-06-27</t>
  </si>
  <si>
    <t xml:space="preserve">7.3</t>
  </si>
  <si>
    <t xml:space="preserve">~103 million ration card records</t>
  </si>
  <si>
    <t xml:space="preserve">https://www.econotimes.com/Telangana-and-Andhra-Pradesh-spearhead-blockchain-adoption-in-India--Report-776108</t>
  </si>
  <si>
    <t xml:space="preserve">S04</t>
  </si>
  <si>
    <t xml:space="preserve">Land acquisition documents on NIC chain</t>
  </si>
  <si>
    <t xml:space="preserve">Preliminary notification, draft declaration, LA award, R&amp;R award stored for verification</t>
  </si>
  <si>
    <t xml:space="preserve">Water Resources Dept</t>
  </si>
  <si>
    <t xml:space="preserve">Listed in Jun 2024; not on NIC live dashboard (Oct 2026)</t>
  </si>
  <si>
    <t xml:space="preserve">2023-12-04</t>
  </si>
  <si>
    <t xml:space="preserve">2024-07-23</t>
  </si>
  <si>
    <t xml:space="preserve">Listed in the NIC statistics file of Jul 2024 (12 documents, Water Resource Dept); no longer listed in Oct 2026.</t>
  </si>
  <si>
    <t xml:space="preserve">S05</t>
  </si>
  <si>
    <t xml:space="preserve">Revenue records on blockchain + departmental data lake</t>
  </si>
  <si>
    <t xml:space="preserve">CM directive to sanitise and secure all revenue records using blockchain</t>
  </si>
  <si>
    <t xml:space="preserve">Chief Minister / RTGS</t>
  </si>
  <si>
    <t xml:space="preserve">Directive issued</t>
  </si>
  <si>
    <t xml:space="preserve">2025-07-08</t>
  </si>
  <si>
    <t xml:space="preserve">2025-07-07</t>
  </si>
  <si>
    <t xml:space="preserve">1.3</t>
  </si>
  <si>
    <t xml:space="preserve">T4</t>
  </si>
  <si>
    <t xml:space="preserve">https://thesouthfirst.com/news/andhra-pradesh-to-use-blockchain-technology-to-secure-records-and-data-across-various-departments/</t>
  </si>
  <si>
    <t xml:space="preserve">S06</t>
  </si>
  <si>
    <t xml:space="preserve">Mee Bhoomi–Blockchain pilot (NIC Property Chain)</t>
  </si>
  <si>
    <t xml:space="preserve">Digital identity per land parcel; auto-mutation, subdivision, extent correction; shared with other departments and banks</t>
  </si>
  <si>
    <t xml:space="preserve">Revenue &amp; Survey Depts with NIC AP &amp; NIC CoE</t>
  </si>
  <si>
    <t xml:space="preserve">Pilot in 7 mandals of 7 districts; live on NIC Property Chain</t>
  </si>
  <si>
    <t xml:space="preserve">2025-07</t>
  </si>
  <si>
    <t xml:space="preserve">2026-07-23</t>
  </si>
  <si>
    <t xml:space="preserve">3,16,434 documents; 1,60,368 verifications (NIC statistics, 2026-10-14)</t>
  </si>
  <si>
    <t xml:space="preserve">T1;T4</t>
  </si>
  <si>
    <t xml:space="preserve">S07</t>
  </si>
  <si>
    <t xml:space="preserve">Blockchain + QR-coded Pattadar passbooks</t>
  </si>
  <si>
    <t xml:space="preserve">Land passbooks with blockchain, QR and note-like security features</t>
  </si>
  <si>
    <t xml:space="preserve">Revenue Dept – Mee Bhumi Mee Hakku</t>
  </si>
  <si>
    <t xml:space="preserve">32 lakh+ issued; 69 lakh pending in 9,365 villages</t>
  </si>
  <si>
    <t xml:space="preserve">2026-08-10</t>
  </si>
  <si>
    <t xml:space="preserve">32 lakh passbooks</t>
  </si>
  <si>
    <t xml:space="preserve">https://telanganatoday.com/tamper-proof-blockchain-naidu-announces-enhanced-security-for-ap-land-documents</t>
  </si>
  <si>
    <t xml:space="preserve">S08</t>
  </si>
  <si>
    <t xml:space="preserve">Blockchain cadastre &amp; land records pilot (Darrang) with NGDRS and ULPIN</t>
  </si>
  <si>
    <t xml:space="preserve">District-level blockchain land registry linked to NGDRS, Bhunaksha, Dharitree</t>
  </si>
  <si>
    <t xml:space="preserve">Revenue &amp; Disaster Management Dept with Dept of Land Resources</t>
  </si>
  <si>
    <t xml:space="preserve">Assam</t>
  </si>
  <si>
    <t xml:space="preserve">IN-AS</t>
  </si>
  <si>
    <t xml:space="preserve">18</t>
  </si>
  <si>
    <t xml:space="preserve">Listed as PoC on NIC dashboard; NGDRS live in all 77 SROs</t>
  </si>
  <si>
    <t xml:space="preserve">2024-02-13</t>
  </si>
  <si>
    <t xml:space="preserve">77 Sub-Registrar Offices</t>
  </si>
  <si>
    <t xml:space="preserve">S09</t>
  </si>
  <si>
    <t xml:space="preserve">Mobile e-voting with blockchain vote proofs</t>
  </si>
  <si>
    <t xml:space="preserve">Municipal by-election votes on private DocChain with proofs anchored on Polygon</t>
  </si>
  <si>
    <t xml:space="preserve">Bihar State Election Commission</t>
  </si>
  <si>
    <t xml:space="preserve">Bihar</t>
  </si>
  <si>
    <t xml:space="preserve">IN-BR</t>
  </si>
  <si>
    <t xml:space="preserve">10</t>
  </si>
  <si>
    <t xml:space="preserve">Private chain + Polygon (public)</t>
  </si>
  <si>
    <t xml:space="preserve">Hybrid (private + public anchor)</t>
  </si>
  <si>
    <t xml:space="preserve">C-DAC, Print2Block</t>
  </si>
  <si>
    <t xml:space="preserve">Pilot completed successfully</t>
  </si>
  <si>
    <t xml:space="preserve">2025-07-21</t>
  </si>
  <si>
    <t xml:space="preserve">1.2</t>
  </si>
  <si>
    <t xml:space="preserve">42 municipalities, 26 districts; 51,157 voters; ~70% turnout</t>
  </si>
  <si>
    <t xml:space="preserve">https://x.com/cdacindia/status/1947175299676016838</t>
  </si>
  <si>
    <t xml:space="preserve">S10</t>
  </si>
  <si>
    <t xml:space="preserve">Blockchain for e-Governance Grand Challenge</t>
  </si>
  <si>
    <t xml:space="preserve">Startup challenge on data exchange, e-health records, land records; winners to pilot with departments</t>
  </si>
  <si>
    <t xml:space="preserve">CHiPS (IT agency)</t>
  </si>
  <si>
    <t xml:space="preserve">Chhattisgarh</t>
  </si>
  <si>
    <t xml:space="preserve">IN-CG</t>
  </si>
  <si>
    <t xml:space="preserve">22</t>
  </si>
  <si>
    <t xml:space="preserve">GovBlocks and other winners</t>
  </si>
  <si>
    <t xml:space="preserve">Pilots announced; no later status</t>
  </si>
  <si>
    <t xml:space="preserve">2018-08-31</t>
  </si>
  <si>
    <t xml:space="preserve">2018-08</t>
  </si>
  <si>
    <t xml:space="preserve">8.1</t>
  </si>
  <si>
    <t xml:space="preserve">118 participants</t>
  </si>
  <si>
    <t xml:space="preserve">https://yourstory.com/2018/08/chhattisgarh-blockchain-grand-challenge</t>
  </si>
  <si>
    <t xml:space="preserve">S12</t>
  </si>
  <si>
    <t xml:space="preserve">Degree certificates on NIC Certificate Chain</t>
  </si>
  <si>
    <t xml:space="preserve">Degree certificates available for online verification</t>
  </si>
  <si>
    <t xml:space="preserve">Indira Gandhi Krishi Vishwavidyalaya, Raipur (state agri university)</t>
  </si>
  <si>
    <t xml:space="preserve">7,277 documents; 103 verifications (NIC statistics, 2026-10-14)</t>
  </si>
  <si>
    <t xml:space="preserve">S13</t>
  </si>
  <si>
    <t xml:space="preserve">Blockchain for land registration</t>
  </si>
  <si>
    <t xml:space="preserve">Tamper-proof land registration and property verification; notary records digitisation started</t>
  </si>
  <si>
    <t xml:space="preserve">Dept of IT, Electronics &amp; Communication</t>
  </si>
  <si>
    <t xml:space="preserve">Goa</t>
  </si>
  <si>
    <t xml:space="preserve">IN-GA</t>
  </si>
  <si>
    <t xml:space="preserve">30</t>
  </si>
  <si>
    <t xml:space="preserve">Info Tech Corporation of Goa</t>
  </si>
  <si>
    <t xml:space="preserve">'Under consideration' (CM in Assembly)</t>
  </si>
  <si>
    <t xml:space="preserve">2025-07-28</t>
  </si>
  <si>
    <t xml:space="preserve">https://www.thegoan.net/goa-news/%EF%BB%BFgovt-mulls-blockchain-tech-to-secure-land-transactions/133870.html</t>
  </si>
  <si>
    <t xml:space="preserve">A 2024 roundup claims it is live – conflicting</t>
  </si>
  <si>
    <t xml:space="preserve">S14</t>
  </si>
  <si>
    <t xml:space="preserve">Police records (FIRs) on blockchain</t>
  </si>
  <si>
    <t xml:space="preserve">Digitise FIRs and police documents on blockchain</t>
  </si>
  <si>
    <t xml:space="preserve">Goa Police (Crime Branch)</t>
  </si>
  <si>
    <t xml:space="preserve">5ire</t>
  </si>
  <si>
    <t xml:space="preserve">MoU signed; no later update</t>
  </si>
  <si>
    <t xml:space="preserve">2022-08-05</t>
  </si>
  <si>
    <t xml:space="preserve">2022-08</t>
  </si>
  <si>
    <t xml:space="preserve">4.2</t>
  </si>
  <si>
    <t xml:space="preserve">https://globalprimenews.com/2022/08/02/5ire-signs-mou-with-goa-police-to-develop-smart-policing-system/</t>
  </si>
  <si>
    <t xml:space="preserve">S15</t>
  </si>
  <si>
    <t xml:space="preserve">AI, blockchain &amp; GIS for land records</t>
  </si>
  <si>
    <t xml:space="preserve">Exploring blockchain to secure land records and stop duplication</t>
  </si>
  <si>
    <t xml:space="preserve">Revenue Department</t>
  </si>
  <si>
    <t xml:space="preserve">Gujarat</t>
  </si>
  <si>
    <t xml:space="preserve">IN-GJ</t>
  </si>
  <si>
    <t xml:space="preserve">24</t>
  </si>
  <si>
    <t xml:space="preserve">Exploratory stage</t>
  </si>
  <si>
    <t xml:space="preserve">2026-05-09</t>
  </si>
  <si>
    <t xml:space="preserve">2026-05</t>
  </si>
  <si>
    <t xml:space="preserve">0.4</t>
  </si>
  <si>
    <t xml:space="preserve">T3</t>
  </si>
  <si>
    <t xml:space="preserve">https://www.convergence-now.com/future-cities/gujarat-ai-blockchain-gis-land-governance-reform/</t>
  </si>
  <si>
    <t xml:space="preserve">S16</t>
  </si>
  <si>
    <t xml:space="preserve">Digital notarisation MoU (AI + blockchain); CoE at GTU</t>
  </si>
  <si>
    <t xml:space="preserve">Blockchain-based authentication of notarised documents</t>
  </si>
  <si>
    <t xml:space="preserve">Govt of Gujarat</t>
  </si>
  <si>
    <t xml:space="preserve">DPR sent to Union Ministry of Law; proposal being finalised (Feb 2026, vendor source)</t>
  </si>
  <si>
    <t xml:space="preserve">2026-02-28</t>
  </si>
  <si>
    <t xml:space="preserve">2024-01-03</t>
  </si>
  <si>
    <t xml:space="preserve">https://www.tribuneindia.com/news/business/naapbooks-directors-hold-strategic-meeting-with-odishas-it-minister-on-e-notary-digitalisation/</t>
  </si>
  <si>
    <t xml:space="preserve">No official source yet; the Feb 2026 status update comes from the vendor (Naapbooks).</t>
  </si>
  <si>
    <t xml:space="preserve">S17</t>
  </si>
  <si>
    <t xml:space="preserve">Blockchain academic certificates</t>
  </si>
  <si>
    <t xml:space="preserve">Encrypted digital certificates with online verification for pass-outs</t>
  </si>
  <si>
    <t xml:space="preserve">Board of School Education Haryana (BSEH)</t>
  </si>
  <si>
    <t xml:space="preserve">Haryana</t>
  </si>
  <si>
    <t xml:space="preserve">IN-HR</t>
  </si>
  <si>
    <t xml:space="preserve">6</t>
  </si>
  <si>
    <t xml:space="preserve">Public blockchain (CRISP platform)</t>
  </si>
  <si>
    <t xml:space="preserve">CRISP Bhopal (Madhya Pradesh govt society)</t>
  </si>
  <si>
    <t xml:space="preserve">Agreement with CRISP signed Jun 2023 (3-year term); no evidence of certificates issued</t>
  </si>
  <si>
    <t xml:space="preserve">2023-06-22</t>
  </si>
  <si>
    <t xml:space="preserve">5 lakh students</t>
  </si>
  <si>
    <t xml:space="preserve">https://crisp.mp.gov.in/news/235-haryana-government-will-give-digital-certificates-to-5-lakh-students-by-crisp-s-developed-blockchain-technology</t>
  </si>
  <si>
    <t xml:space="preserve">S36</t>
  </si>
  <si>
    <t xml:space="preserve">S18</t>
  </si>
  <si>
    <t xml:space="preserve">Apiary – blockchain Centre of Entrepreneurship, STPI Gurugram</t>
  </si>
  <si>
    <t xml:space="preserve">Incubates blockchain startups (agri, supply chain, finance, health, e-governance)</t>
  </si>
  <si>
    <t xml:space="preserve">Govt of Haryana with STPI (MeitY)</t>
  </si>
  <si>
    <t xml:space="preserve">STPI, MeitY, IBM, Intel, GBA, FITT-IIT Delhi</t>
  </si>
  <si>
    <t xml:space="preserve">Operating; 5 startup cohorts</t>
  </si>
  <si>
    <t xml:space="preserve">2025-02-19</t>
  </si>
  <si>
    <t xml:space="preserve">2020-07-17</t>
  </si>
  <si>
    <t xml:space="preserve">2023-10-20</t>
  </si>
  <si>
    <t xml:space="preserve">1.7</t>
  </si>
  <si>
    <t xml:space="preserve">Cohorts: 23, 19, 13, 19, 6 startups screened in</t>
  </si>
  <si>
    <t xml:space="preserve">https://haryanait.gov.in/center-of-excellence-for-blockchain/</t>
  </si>
  <si>
    <t xml:space="preserve">S19</t>
  </si>
  <si>
    <t xml:space="preserve">Apple supply-chain quality monitoring (blockchain + IoT)</t>
  </si>
  <si>
    <t xml:space="preserve">Pilot to monitor apple quality and supply chain</t>
  </si>
  <si>
    <t xml:space="preserve">NITI Aayog with Govt of Himachal Pradesh</t>
  </si>
  <si>
    <t xml:space="preserve">Himachal Pradesh</t>
  </si>
  <si>
    <t xml:space="preserve">IN-HP</t>
  </si>
  <si>
    <t xml:space="preserve">2</t>
  </si>
  <si>
    <t xml:space="preserve">Reported in 2024 eBook only; no official source found</t>
  </si>
  <si>
    <t xml:space="preserve">2.3</t>
  </si>
  <si>
    <t xml:space="preserve">1 – Vendor-only, opinion or unverified claim</t>
  </si>
  <si>
    <t xml:space="preserve">https://lf-hyperledger.atlassian.net/wiki/spaces/HIRC/pages/19171362/Hyperledger+India+-+eBook</t>
  </si>
  <si>
    <t xml:space="preserve">Not verified – check before citing</t>
  </si>
  <si>
    <t xml:space="preserve">S20</t>
  </si>
  <si>
    <t xml:space="preserve">Seed distribution on blockchain</t>
  </si>
  <si>
    <t xml:space="preserve">Tracks seed supply orders and distribution to farmers with Aadhaar/OTP checks</t>
  </si>
  <si>
    <t xml:space="preserve">Directorate of Agriculture</t>
  </si>
  <si>
    <t xml:space="preserve">Jharkhand</t>
  </si>
  <si>
    <t xml:space="preserve">IN-JH</t>
  </si>
  <si>
    <t xml:space="preserve">20</t>
  </si>
  <si>
    <t xml:space="preserve">SettleMint</t>
  </si>
  <si>
    <t xml:space="preserve">Production system</t>
  </si>
  <si>
    <t xml:space="preserve">2026-06-14</t>
  </si>
  <si>
    <t xml:space="preserve">0.3</t>
  </si>
  <si>
    <t xml:space="preserve">3 lakh+ farmers; 600 LAMPS/PACS; 160 FPOs; ~30,000 quintals</t>
  </si>
  <si>
    <t xml:space="preserve">https://krishijagran.com/agriculture-world/jharkhand-becomes-first-state-in-india-to-distribute-seed-to-farmers-via-blockchain-tech/</t>
  </si>
  <si>
    <t xml:space="preserve">S21</t>
  </si>
  <si>
    <t xml:space="preserve">Property records on NIC Property Chain (NBF pilot)</t>
  </si>
  <si>
    <t xml:space="preserve">Property transactions recorded for verification</t>
  </si>
  <si>
    <t xml:space="preserve">Department of Revenue</t>
  </si>
  <si>
    <t xml:space="preserve">Live but small scale</t>
  </si>
  <si>
    <t xml:space="preserve">4,474 documents; 31 verifications (NIC statistics, 2026-10-14)</t>
  </si>
  <si>
    <t xml:space="preserve">S22</t>
  </si>
  <si>
    <t xml:space="preserve">Aushada – drug logistics chain</t>
  </si>
  <si>
    <t xml:space="preserve">Drug movement manufacturer→warehouse→hospital with quality checks; smart contracts block non-standard drugs; patients can check drug details</t>
  </si>
  <si>
    <t xml:space="preserve">Karnataka State Medical Supplies Corporation Ltd (formerly KSDLWS)</t>
  </si>
  <si>
    <t xml:space="preserve">Karnataka</t>
  </si>
  <si>
    <t xml:space="preserve">IN-KA</t>
  </si>
  <si>
    <t xml:space="preserve">29</t>
  </si>
  <si>
    <t xml:space="preserve">Permissioned (NIC NBF)</t>
  </si>
  <si>
    <t xml:space="preserve">2021-04</t>
  </si>
  <si>
    <t xml:space="preserve">35,38,745 documents (NIC statistics, 2026-10-14)</t>
  </si>
  <si>
    <t xml:space="preserve">S23</t>
  </si>
  <si>
    <t xml:space="preserve">Birth &amp; death certificates on Document Chain</t>
  </si>
  <si>
    <t xml:space="preserve">Certificates recorded for verification</t>
  </si>
  <si>
    <t xml:space="preserve">Directorate of Economics &amp; Statistics</t>
  </si>
  <si>
    <t xml:space="preserve">2022-04</t>
  </si>
  <si>
    <t xml:space="preserve">68,20,431 documents; 37 verifications (NIC statistics, 2026-10-14)</t>
  </si>
  <si>
    <t xml:space="preserve">S24</t>
  </si>
  <si>
    <t xml:space="preserve">Caste &amp; income certificates on Document Chain</t>
  </si>
  <si>
    <t xml:space="preserve">Certificates recorded; used for professional-college admission checks</t>
  </si>
  <si>
    <t xml:space="preserve">2018-01</t>
  </si>
  <si>
    <t xml:space="preserve">4,24,82,055 documents; 2 verifications (NIC statistics, 2026-10-14)</t>
  </si>
  <si>
    <t xml:space="preserve">S25</t>
  </si>
  <si>
    <t xml:space="preserve">SSLC &amp; PUC marks on Certificate Chain</t>
  </si>
  <si>
    <t xml:space="preserve">Exam results stored for verification (planned for admissions, scheme eligibility, recruitment checks)</t>
  </si>
  <si>
    <t xml:space="preserve">Karnataka School Examination and Assessment Board</t>
  </si>
  <si>
    <t xml:space="preserve">1,43,97,704 documents; 1,258 verifications (NIC statistics, 2026-10-14)</t>
  </si>
  <si>
    <t xml:space="preserve">S26</t>
  </si>
  <si>
    <t xml:space="preserve">Property records on NIC Property Chain</t>
  </si>
  <si>
    <t xml:space="preserve">Bhoomi, e-Aasthi and e-Swathu integrated; full property history (pledge, mutation, sale, gift) visible to stakeholders</t>
  </si>
  <si>
    <t xml:space="preserve">Revenue Department (Bhoomi land records)</t>
  </si>
  <si>
    <t xml:space="preserve">Live – by far the largest govt blockchain use in India</t>
  </si>
  <si>
    <t xml:space="preserve">2,11,88,847 documents; 47,50,45,928 verifications (NIC statistics, 2026-10-14)</t>
  </si>
  <si>
    <t xml:space="preserve">S28</t>
  </si>
  <si>
    <t xml:space="preserve">Kaveri blockchain + digital wallet for land records</t>
  </si>
  <si>
    <t xml:space="preserve">Smartcards and key-secured wallet tracking 67 types of property transactions</t>
  </si>
  <si>
    <t xml:space="preserve">Centre for Smart Governance (CSG)</t>
  </si>
  <si>
    <t xml:space="preserve">Under development</t>
  </si>
  <si>
    <t xml:space="preserve">2021-01</t>
  </si>
  <si>
    <t xml:space="preserve">67 transaction types</t>
  </si>
  <si>
    <t xml:space="preserve">https://igr.karnataka.gov.in/info-1/e+Governance+Initiatives/en</t>
  </si>
  <si>
    <t xml:space="preserve">v1.1: Tumakuru pilot dated Dec 2021 found; no full rollout date found.</t>
  </si>
  <si>
    <t xml:space="preserve">S29</t>
  </si>
  <si>
    <t xml:space="preserve">Permissioned blockchain trust layer for e-Government Procurement (e-GP)</t>
  </si>
  <si>
    <t xml:space="preserve">Link 50+ siloed e-procurement systems; validate supplier claims; tokenise bank guarantees; national supplier database</t>
  </si>
  <si>
    <t xml:space="preserve">Centre for Smart Governance (CSG) with IIT Kanpur's CRUBN</t>
  </si>
  <si>
    <t xml:space="preserve">Supplier fraud &amp; opacity in procurement</t>
  </si>
  <si>
    <t xml:space="preserve">CRUBN (IIT Kanpur)</t>
  </si>
  <si>
    <t xml:space="preserve">Partnership announced; no rollout reported</t>
  </si>
  <si>
    <t xml:space="preserve">2021-11-18</t>
  </si>
  <si>
    <t xml:space="preserve">50+ e-GP systems targeted</t>
  </si>
  <si>
    <t xml:space="preserve">https://www.iitk.ac.in/crubn-partners-with-centre-for-smart-governance</t>
  </si>
  <si>
    <t xml:space="preserve">S30</t>
  </si>
  <si>
    <t xml:space="preserve">Govt blockchain CoE (Blockchain Garage, Decentralized Lab)</t>
  </si>
  <si>
    <t xml:space="preserve">Builds public-good blockchain solutions and trains officials</t>
  </si>
  <si>
    <t xml:space="preserve">Kerala Blockchain Academy (Digital University Kerala)</t>
  </si>
  <si>
    <t xml:space="preserve">Kerala</t>
  </si>
  <si>
    <t xml:space="preserve">IN-KL</t>
  </si>
  <si>
    <t xml:space="preserve">32</t>
  </si>
  <si>
    <t xml:space="preserve">Hyperledger Fabric, Ethereum</t>
  </si>
  <si>
    <t xml:space="preserve">Active</t>
  </si>
  <si>
    <t xml:space="preserve">2025-12-12</t>
  </si>
  <si>
    <t xml:space="preserve">2017-03-07</t>
  </si>
  <si>
    <t xml:space="preserve">https://kba.ai/about-kba/</t>
  </si>
  <si>
    <t xml:space="preserve">S31</t>
  </si>
  <si>
    <t xml:space="preserve">Immunochain – vaccine traceability</t>
  </si>
  <si>
    <t xml:space="preserve">Tracks vaccines through cold chain to the beneficiary</t>
  </si>
  <si>
    <t xml:space="preserve">Kerala Blockchain Academy</t>
  </si>
  <si>
    <t xml:space="preserve">Award-winning solution; deployment scale not published</t>
  </si>
  <si>
    <t xml:space="preserve">2023-10</t>
  </si>
  <si>
    <t xml:space="preserve">2018-11-30</t>
  </si>
  <si>
    <t xml:space="preserve">3.0</t>
  </si>
  <si>
    <t xml:space="preserve">CM's Award for Innovation in Public Policy 2020</t>
  </si>
  <si>
    <t xml:space="preserve">https://kba.ai/immunochain/</t>
  </si>
  <si>
    <t xml:space="preserve">S32</t>
  </si>
  <si>
    <t xml:space="preserve">Pilots in land records, workforce, immunisation, organic food traceability</t>
  </si>
  <si>
    <t xml:space="preserve">Five-year plan for blockchain pilots</t>
  </si>
  <si>
    <t xml:space="preserve">Govt of Kerala</t>
  </si>
  <si>
    <t xml:space="preserve">Announced as plans</t>
  </si>
  <si>
    <t xml:space="preserve">2020-01-09</t>
  </si>
  <si>
    <t xml:space="preserve">https://inc42.com/buzz/blockchain-this-week-kerala-government-projects-ant-financial-targets-enterprise-blockchain-more/</t>
  </si>
  <si>
    <t xml:space="preserve">S33</t>
  </si>
  <si>
    <t xml:space="preserve">Blockchain land registration</t>
  </si>
  <si>
    <t xml:space="preserve">Tamper-proof ledger for land registration</t>
  </si>
  <si>
    <t xml:space="preserve">Registration Department</t>
  </si>
  <si>
    <t xml:space="preserve">Announced by CM</t>
  </si>
  <si>
    <t xml:space="preserve">2026-01-27</t>
  </si>
  <si>
    <t xml:space="preserve">2026-01-04</t>
  </si>
  <si>
    <t xml:space="preserve">https://www.keralapsc.gov.in/sri-pinarayi-vijayan-honchief-minister-kerala-inagurated-kerala-public-service-commission-block</t>
  </si>
  <si>
    <t xml:space="preserve">v1.1: official Kerala PSC page on the launch found.</t>
  </si>
  <si>
    <t xml:space="preserve">S34</t>
  </si>
  <si>
    <t xml:space="preserve">Blockchain-as-a-Service platform for MP</t>
  </si>
  <si>
    <t xml:space="preserve">RFP to design, build and run a state BaaS platform</t>
  </si>
  <si>
    <t xml:space="preserve">MP State Electronics Development Corporation (MPSEDC)</t>
  </si>
  <si>
    <t xml:space="preserve">Madhya Pradesh</t>
  </si>
  <si>
    <t xml:space="preserve">IN-MP</t>
  </si>
  <si>
    <t xml:space="preserve">23</t>
  </si>
  <si>
    <t xml:space="preserve">To be selected</t>
  </si>
  <si>
    <t xml:space="preserve">Tendered (bids closed 14 Nov 2025); award not confirmed</t>
  </si>
  <si>
    <t xml:space="preserve">2025-11-14</t>
  </si>
  <si>
    <t xml:space="preserve">2025-09-22</t>
  </si>
  <si>
    <t xml:space="preserve">0.9</t>
  </si>
  <si>
    <t xml:space="preserve">https://tenderdekho.com/tender-detail/td-1br73DkHir</t>
  </si>
  <si>
    <t xml:space="preserve">Check award on MP e-tender portal</t>
  </si>
  <si>
    <t xml:space="preserve">S35</t>
  </si>
  <si>
    <t xml:space="preserve">Citizen apps on Praamaanik</t>
  </si>
  <si>
    <t xml:space="preserve">14 state citizen apps verified on national Praamaanik</t>
  </si>
  <si>
    <t xml:space="preserve">MPSEDC</t>
  </si>
  <si>
    <t xml:space="preserve">Onboarded</t>
  </si>
  <si>
    <t xml:space="preserve">Blockchain digital certificate platform</t>
  </si>
  <si>
    <t xml:space="preserve">Platform built by MP society; used by BSEH Haryana</t>
  </si>
  <si>
    <t xml:space="preserve">merged</t>
  </si>
  <si>
    <t xml:space="preserve">CRISP Bhopal (state society)</t>
  </si>
  <si>
    <t xml:space="preserve">Public blockchain</t>
  </si>
  <si>
    <t xml:space="preserve">Provider side of the S17 agreement (Jun 2023); no evidence of certificates issued</t>
  </si>
  <si>
    <t xml:space="preserve">Same June 2023 agreement as S17 (CRISP is the provider; BSEH is the client). Kept as a separate row for continuity with v1.0.0; exclude one of the two when counting distinct initiatives.</t>
  </si>
  <si>
    <t xml:space="preserve">S37</t>
  </si>
  <si>
    <t xml:space="preserve">State blockchain framework &amp; sandbox</t>
  </si>
  <si>
    <t xml:space="preserve">Common framework; pilots in health, supply chain, documents; planned agri marketing, vehicle registration, SSC certificates</t>
  </si>
  <si>
    <t xml:space="preserve">Maharashtra IT Directorate</t>
  </si>
  <si>
    <t xml:space="preserve">Maharashtra</t>
  </si>
  <si>
    <t xml:space="preserve">IN-MH</t>
  </si>
  <si>
    <t xml:space="preserve">27</t>
  </si>
  <si>
    <t xml:space="preserve">Sandbox launched 2020; no later status</t>
  </si>
  <si>
    <t xml:space="preserve">2020-02-08</t>
  </si>
  <si>
    <t xml:space="preserve">2019-08</t>
  </si>
  <si>
    <t xml:space="preserve">₹10 crore over 18 months</t>
  </si>
  <si>
    <t xml:space="preserve">https://inc42.com/buzz/maharashtra-launches-blockchain-sandbox-for-e-governance/</t>
  </si>
  <si>
    <t xml:space="preserve">S39</t>
  </si>
  <si>
    <t xml:space="preserve">Skill/diploma certificates on blockchain</t>
  </si>
  <si>
    <t xml:space="preserve">Tamper-proof diploma certificates with digital verification</t>
  </si>
  <si>
    <t xml:space="preserve">Maharashtra State Board of Skill Development</t>
  </si>
  <si>
    <t xml:space="preserve">Ethereum/Polygon (LegitDoc)</t>
  </si>
  <si>
    <t xml:space="preserve">LegitDoc</t>
  </si>
  <si>
    <t xml:space="preserve">Announced 2021; no later status found</t>
  </si>
  <si>
    <t xml:space="preserve">2021-07-27</t>
  </si>
  <si>
    <t xml:space="preserve">5.2</t>
  </si>
  <si>
    <t xml:space="preserve">https://www.deccanherald.com/india/gadchiroli-to-use-blockchain-to-authenticate-caste-certificates-report-1097491.html</t>
  </si>
  <si>
    <t xml:space="preserve">S40</t>
  </si>
  <si>
    <t xml:space="preserve">Certificates on NIC Certificate Chain</t>
  </si>
  <si>
    <t xml:space="preserve">Health-science degrees/certificates verifiable online</t>
  </si>
  <si>
    <t xml:space="preserve">Maharashtra University of Health Sciences (MUHS)</t>
  </si>
  <si>
    <t xml:space="preserve">31,760 documents; 6,460 verifications (NIC statistics, 2026-10-14)</t>
  </si>
  <si>
    <t xml:space="preserve">S41</t>
  </si>
  <si>
    <t xml:space="preserve">Nursing/paramedical certificates verifiable online</t>
  </si>
  <si>
    <t xml:space="preserve">Maharashtra State Board of Nursing &amp; Paramedical Education</t>
  </si>
  <si>
    <t xml:space="preserve">2025-07-04</t>
  </si>
  <si>
    <t xml:space="preserve">2,02,444 documents; 10,783 verifications (NIC statistics, 2026-10-14)</t>
  </si>
  <si>
    <t xml:space="preserve">S42</t>
  </si>
  <si>
    <t xml:space="preserve">Documents on NIC Document Chain</t>
  </si>
  <si>
    <t xml:space="preserve">Govt documents recorded for verification</t>
  </si>
  <si>
    <t xml:space="preserve">General Administration Department</t>
  </si>
  <si>
    <t xml:space="preserve">2026-06-15</t>
  </si>
  <si>
    <t xml:space="preserve">1,005 documents; 73 verifications (NIC statistics, 2026-10-14)</t>
  </si>
  <si>
    <t xml:space="preserve">Confirm document type</t>
  </si>
  <si>
    <t xml:space="preserve">S44</t>
  </si>
  <si>
    <t xml:space="preserve">COVID-19 test certificates on blockchain</t>
  </si>
  <si>
    <t xml:space="preserve">Negative RT-PCR reports and universal passes issued with blockchain proof and QR verification</t>
  </si>
  <si>
    <t xml:space="preserve">Dept of Disaster Management, Relief &amp; Rehabilitation (DMRR)</t>
  </si>
  <si>
    <t xml:space="preserve">Private DocChain + Polygon audit</t>
  </si>
  <si>
    <t xml:space="preserve">Print2Block</t>
  </si>
  <si>
    <t xml:space="preserve">Used during COVID-19; verification portal online</t>
  </si>
  <si>
    <t xml:space="preserve">2021-08-12</t>
  </si>
  <si>
    <t xml:space="preserve">2021-05</t>
  </si>
  <si>
    <t xml:space="preserve">T2;T3</t>
  </si>
  <si>
    <t xml:space="preserve">https://block.dmrr.mahaonline.gov.in/report?id=2e63e5ad7e1ae7f4fa8568e8cdb49dec4ac701f9469e7289ba84d1ddb2dc385b</t>
  </si>
  <si>
    <t xml:space="preserve">COVID-era service – may be retired</t>
  </si>
  <si>
    <t xml:space="preserve">S45</t>
  </si>
  <si>
    <t xml:space="preserve">State Asset Tokenisation Framework &amp; blockchain land-registry pilots</t>
  </si>
  <si>
    <t xml:space="preserve">Tokenise public/private assets; pilot blockchain land registry; secure asset registries</t>
  </si>
  <si>
    <t xml:space="preserve">Maharashtra Institution for Transformation (MITRA)</t>
  </si>
  <si>
    <t xml:space="preserve">Infraledger Labs</t>
  </si>
  <si>
    <t xml:space="preserve">MoU signed; framework under development</t>
  </si>
  <si>
    <t xml:space="preserve">2025-10-09</t>
  </si>
  <si>
    <t xml:space="preserve">Target ~₹50 trillion of assets</t>
  </si>
  <si>
    <t xml:space="preserve">E1;O4</t>
  </si>
  <si>
    <t xml:space="preserve">Environment;Organisation</t>
  </si>
  <si>
    <t xml:space="preserve">https://www.business-standard.com/finance/news/maharashtra-to-launch-asset-tokenisation-framework-says-fadnavis-125100901370_1.html</t>
  </si>
  <si>
    <t xml:space="preserve">S47</t>
  </si>
  <si>
    <t xml:space="preserve">Academic Credential Verification System on Internet Computer</t>
  </si>
  <si>
    <t xml:space="preserve">Store and verify academic certificates with privacy-preserving login</t>
  </si>
  <si>
    <t xml:space="preserve">Department of Education</t>
  </si>
  <si>
    <t xml:space="preserve">Manipur</t>
  </si>
  <si>
    <t xml:space="preserve">IN-MN</t>
  </si>
  <si>
    <t xml:space="preserve">14</t>
  </si>
  <si>
    <t xml:space="preserve">Internet Computer (ICP)</t>
  </si>
  <si>
    <t xml:space="preserve">Other public chains</t>
  </si>
  <si>
    <t xml:space="preserve">DFINITY Foundation, The Horizon</t>
  </si>
  <si>
    <t xml:space="preserve">Announced; no deployment update</t>
  </si>
  <si>
    <t xml:space="preserve">2023-12-07</t>
  </si>
  <si>
    <t xml:space="preserve">2.9</t>
  </si>
  <si>
    <t xml:space="preserve">https://www.business-standard.com/content/press-releases-ani/manipur-education-department-embraces-blockchain-technology-on-icp-123120701068_1.html</t>
  </si>
  <si>
    <t xml:space="preserve">S48</t>
  </si>
  <si>
    <t xml:space="preserve">Higher Secondary mark statements on NIC Certificate Chain</t>
  </si>
  <si>
    <t xml:space="preserve">Mark statements available for verification</t>
  </si>
  <si>
    <t xml:space="preserve">Council of Higher Secondary Education, Manipur</t>
  </si>
  <si>
    <t xml:space="preserve">2022-09-08</t>
  </si>
  <si>
    <t xml:space="preserve">79,614 documents; 59 verifications (NIC statistics, 2026-10-14)</t>
  </si>
  <si>
    <t xml:space="preserve">S49</t>
  </si>
  <si>
    <t xml:space="preserve">Blockchain employee data &amp; promotion tracking</t>
  </si>
  <si>
    <t xml:space="preserve">Tracks recruitment and promotion records, starting with Police</t>
  </si>
  <si>
    <t xml:space="preserve">IT &amp; Communications Dept with NeGD</t>
  </si>
  <si>
    <t xml:space="preserve">Meghalaya</t>
  </si>
  <si>
    <t xml:space="preserve">IN-ML</t>
  </si>
  <si>
    <t xml:space="preserve">17</t>
  </si>
  <si>
    <t xml:space="preserve">NeGD</t>
  </si>
  <si>
    <t xml:space="preserve">2025-04-25</t>
  </si>
  <si>
    <t xml:space="preserve">2025-04</t>
  </si>
  <si>
    <t xml:space="preserve">1.5</t>
  </si>
  <si>
    <t xml:space="preserve">https://www.sentinelassam.com/north-east-india-news/meghalaya-news/meghalaya-to-launch-blockchain-employee-data-base</t>
  </si>
  <si>
    <t xml:space="preserve">S50</t>
  </si>
  <si>
    <t xml:space="preserve">Blockchain-as-a-Service platform for Odisha</t>
  </si>
  <si>
    <t xml:space="preserve">State BaaS for academic credentials, eDistrict certificates, IGR land registration data and sandbox</t>
  </si>
  <si>
    <t xml:space="preserve">Odisha Computer Application Centre (OCAC)</t>
  </si>
  <si>
    <t xml:space="preserve">Odisha</t>
  </si>
  <si>
    <t xml:space="preserve">IN-OD</t>
  </si>
  <si>
    <t xml:space="preserve">21</t>
  </si>
  <si>
    <t xml:space="preserve">RFP issued; 60-month plan (pilot at 8 months)</t>
  </si>
  <si>
    <t xml:space="preserve">2025-02-13</t>
  </si>
  <si>
    <t xml:space="preserve">2023-12-14</t>
  </si>
  <si>
    <t xml:space="preserve">https://odisha.gov.in/sites/default/files/2023-12/RFP-23123_14.12.2023.pdf</t>
  </si>
  <si>
    <t xml:space="preserve">Check award status</t>
  </si>
  <si>
    <t xml:space="preserve">S51</t>
  </si>
  <si>
    <t xml:space="preserve">Shakti app – blockchain record for GBV survivors</t>
  </si>
  <si>
    <t xml:space="preserve">Survivor data shared securely across shelters and One Stop Centres</t>
  </si>
  <si>
    <t xml:space="preserve">Women &amp; Child Development Dept with UNFPA</t>
  </si>
  <si>
    <t xml:space="preserve">UNFPA</t>
  </si>
  <si>
    <t xml:space="preserve">Pilot in 5 districts; statewide planned</t>
  </si>
  <si>
    <t xml:space="preserve">5 districts</t>
  </si>
  <si>
    <t xml:space="preserve">https://www.cointrust.com/market-news/odisha-pioneers-blockchain-technology-to-combat-gender-based-violence</t>
  </si>
  <si>
    <t xml:space="preserve">S52</t>
  </si>
  <si>
    <t xml:space="preserve">AI &amp; blockchain handloom hubs (Cuttack, Bargarh, Jajpur)</t>
  </si>
  <si>
    <t xml:space="preserve">Blockchain traceability for handloom supply chain</t>
  </si>
  <si>
    <t xml:space="preserve">Handloom, Textiles &amp; Construction Depts</t>
  </si>
  <si>
    <t xml:space="preserve">Proposal stage</t>
  </si>
  <si>
    <t xml:space="preserve">2026-05-23</t>
  </si>
  <si>
    <t xml:space="preserve">https://www.cointrust.com/market-news/indias-odisha-plans-ai-and-blockchain-handloom-hubs</t>
  </si>
  <si>
    <t xml:space="preserve">S53</t>
  </si>
  <si>
    <t xml:space="preserve">Seed potato traceability &amp; certification</t>
  </si>
  <si>
    <t xml:space="preserve">Geo-tagged, QR-coded seed potatoes tracked from nucleus to harvest</t>
  </si>
  <si>
    <t xml:space="preserve">Dept of Agriculture &amp; Farmers Welfare with PAGREXCO</t>
  </si>
  <si>
    <t xml:space="preserve">Punjab</t>
  </si>
  <si>
    <t xml:space="preserve">IN-PB</t>
  </si>
  <si>
    <t xml:space="preserve">3</t>
  </si>
  <si>
    <t xml:space="preserve">CropIn</t>
  </si>
  <si>
    <t xml:space="preserve">Planned for next season; no later update</t>
  </si>
  <si>
    <t xml:space="preserve">2019-07-30</t>
  </si>
  <si>
    <t xml:space="preserve">2019-07</t>
  </si>
  <si>
    <t xml:space="preserve">7.2</t>
  </si>
  <si>
    <t xml:space="preserve">https://www.potatopro.com/news/2019/punjab-introduce-seed-potato-tracebility-and-certification-using-blockchain-technology</t>
  </si>
  <si>
    <t xml:space="preserve">S54</t>
  </si>
  <si>
    <t xml:space="preserve">Centre of Excellence in Blockchain</t>
  </si>
  <si>
    <t xml:space="preserve">CoE for transparent, secure e-governance apps</t>
  </si>
  <si>
    <t xml:space="preserve">Dept of IT &amp; Communication with RVPN &amp; IIT Kanpur</t>
  </si>
  <si>
    <t xml:space="preserve">Rajasthan</t>
  </si>
  <si>
    <t xml:space="preserve">IN-RJ</t>
  </si>
  <si>
    <t xml:space="preserve">8</t>
  </si>
  <si>
    <t xml:space="preserve">IIT Kanpur</t>
  </si>
  <si>
    <t xml:space="preserve">MoU signed</t>
  </si>
  <si>
    <t xml:space="preserve">2024-02</t>
  </si>
  <si>
    <t xml:space="preserve">https://changingtomorrow.in/rajasthan-government-takes-strides-towards-digital-india-with-landmark-mou-on-blockchain-technology/</t>
  </si>
  <si>
    <t xml:space="preserve">S55</t>
  </si>
  <si>
    <t xml:space="preserve">Land records &amp; health records on blockchain</t>
  </si>
  <si>
    <t xml:space="preserve">Plan for blockchain land titles; vendor claims EHR on blockchain</t>
  </si>
  <si>
    <t xml:space="preserve">Govt of Rajasthan</t>
  </si>
  <si>
    <t xml:space="preserve">Auxesis Group</t>
  </si>
  <si>
    <t xml:space="preserve">Vendor claim; no official confirmation</t>
  </si>
  <si>
    <t xml:space="preserve">2018-09-13</t>
  </si>
  <si>
    <t xml:space="preserve">2018-09</t>
  </si>
  <si>
    <t xml:space="preserve">Vendor claims 53 million residents (EHR)</t>
  </si>
  <si>
    <t xml:space="preserve">https://medium.com/auxesis/rajasthan-to-roll-out-blockchain-technology-for-land-records-80d181da4daa</t>
  </si>
  <si>
    <t xml:space="preserve">Vendor source – verify</t>
  </si>
  <si>
    <t xml:space="preserve">S56</t>
  </si>
  <si>
    <t xml:space="preserve">Nambikkai Inaiyam blockchain backbone + e-Pettagam app</t>
  </si>
  <si>
    <t xml:space="preserve">State Blockchain-as-a-Service: secures academic certificates, marksheets, 24 e-Sevai certificates and land transaction data; citizens share via e-Pettagam</t>
  </si>
  <si>
    <t xml:space="preserve">TNeGA (IT Dept)</t>
  </si>
  <si>
    <t xml:space="preserve">Tamil Nadu</t>
  </si>
  <si>
    <t xml:space="preserve">IN-TN</t>
  </si>
  <si>
    <t xml:space="preserve">33</t>
  </si>
  <si>
    <t xml:space="preserve">TNeGA</t>
  </si>
  <si>
    <t xml:space="preserve">Launched by IT Minister</t>
  </si>
  <si>
    <t xml:space="preserve">2020-09</t>
  </si>
  <si>
    <t xml:space="preserve">2023-06-13</t>
  </si>
  <si>
    <t xml:space="preserve">24 e-Sevai certificate types; ~₹40 crore earmarked</t>
  </si>
  <si>
    <t xml:space="preserve">https://it.tn.gov.in/sites/default/files/2025-08/it_e_pn_2025_26.pdf</t>
  </si>
  <si>
    <t xml:space="preserve">S57</t>
  </si>
  <si>
    <t xml:space="preserve">Blockchain complaint &amp; informant portal</t>
  </si>
  <si>
    <t xml:space="preserve">Complaints and tips cannot be deleted or altered</t>
  </si>
  <si>
    <t xml:space="preserve">TN Police – Idol Wing CID</t>
  </si>
  <si>
    <t xml:space="preserve">Polygon (Ethereum)</t>
  </si>
  <si>
    <t xml:space="preserve">2023-01-13</t>
  </si>
  <si>
    <t xml:space="preserve">2022-12</t>
  </si>
  <si>
    <t xml:space="preserve">3.8</t>
  </si>
  <si>
    <t xml:space="preserve">https://www.dtnext.in/tamilnadu/2022/12/23/tn-idol-wing-now-uses-blockchain-tech-to-receive-inputs-complaints</t>
  </si>
  <si>
    <t xml:space="preserve">S58</t>
  </si>
  <si>
    <t xml:space="preserve">Soulbound tokens as digital medals</t>
  </si>
  <si>
    <t xml:space="preserve">Non-transferable tokens awarded to officers and informants</t>
  </si>
  <si>
    <t xml:space="preserve">GuardianLink</t>
  </si>
  <si>
    <t xml:space="preserve">Issued</t>
  </si>
  <si>
    <t xml:space="preserve">https://indianmasterminds.com/feature-stories-on-bureaucrats-changemakers/change-makers/tamil-nadu-police-first-in-the-world-to-adopt-blockchain-technology/</t>
  </si>
  <si>
    <t xml:space="preserve">S59</t>
  </si>
  <si>
    <t xml:space="preserve">Blockchain District, Hyderabad</t>
  </si>
  <si>
    <t xml:space="preserve">Ecosystem hub: CoE, incubators, skilling</t>
  </si>
  <si>
    <t xml:space="preserve">ITE&amp;C Dept</t>
  </si>
  <si>
    <t xml:space="preserve">Telangana</t>
  </si>
  <si>
    <t xml:space="preserve">IN-TS</t>
  </si>
  <si>
    <t xml:space="preserve">36</t>
  </si>
  <si>
    <t xml:space="preserve">Tech Mahindra, IIIT-H, C-DAC</t>
  </si>
  <si>
    <t xml:space="preserve">Set up</t>
  </si>
  <si>
    <t xml:space="preserve">2025-01-04</t>
  </si>
  <si>
    <t xml:space="preserve">https://it.telangana.gov.in/initiatives/blockchain/</t>
  </si>
  <si>
    <t xml:space="preserve">S60</t>
  </si>
  <si>
    <t xml:space="preserve">T-Block Accelerator</t>
  </si>
  <si>
    <t xml:space="preserve">Blockchain startup accelerator</t>
  </si>
  <si>
    <t xml:space="preserve">IIIT-H, ISB, Tech Mahindra, Microsoft</t>
  </si>
  <si>
    <t xml:space="preserve">Run in 2020; official cited 'a dozen+' blockchain use cases in departments</t>
  </si>
  <si>
    <t xml:space="preserve">2021-12-17</t>
  </si>
  <si>
    <t xml:space="preserve">2020-06</t>
  </si>
  <si>
    <t xml:space="preserve">4.8</t>
  </si>
  <si>
    <t xml:space="preserve">25 startups (phase 1)</t>
  </si>
  <si>
    <t xml:space="preserve">https://inc42.com/buzz/telangana-aims-to-be-indias-blockchain-capital-with-new-incubators/</t>
  </si>
  <si>
    <t xml:space="preserve">S61</t>
  </si>
  <si>
    <t xml:space="preserve">Blockchain Property Registration Management System (Shamshabad)</t>
  </si>
  <si>
    <t xml:space="preserve">Integrated with state registration workflow to stop duplicate registrations, fake documents and insider tampering; called first of its kind in India</t>
  </si>
  <si>
    <t xml:space="preserve">Registration &amp; Stamps Dept with MeitY &amp; C-DAC Hyderabad</t>
  </si>
  <si>
    <t xml:space="preserve">C-DAC Hyderabad, IDRBT, IIT Hyderabad, NIC</t>
  </si>
  <si>
    <t xml:space="preserve">Piloted at Shamshabad SRO (Dec 2021); no later update found</t>
  </si>
  <si>
    <t xml:space="preserve">2021-12</t>
  </si>
  <si>
    <t xml:space="preserve">2017-06</t>
  </si>
  <si>
    <t xml:space="preserve">https://blockchain.meity.gov.in/index.php/success-stories/13-blockchain-based-property-registration-management-system</t>
  </si>
  <si>
    <t xml:space="preserve">S62</t>
  </si>
  <si>
    <t xml:space="preserve">Blockchain e-voting for municipal elections</t>
  </si>
  <si>
    <t xml:space="preserve">Vote data kept immutable on blockchain</t>
  </si>
  <si>
    <t xml:space="preserve">Telangana State Election Commission with C-DAC</t>
  </si>
  <si>
    <t xml:space="preserve">C-DAC Mumbai &amp; Hyderabad</t>
  </si>
  <si>
    <t xml:space="preserve">Dry run completed (Khammam, Oct 2021); not used in an actual election</t>
  </si>
  <si>
    <t xml:space="preserve">2021-10</t>
  </si>
  <si>
    <t xml:space="preserve">5.0</t>
  </si>
  <si>
    <t xml:space="preserve">https://blockchain.meity.gov.in/index.php/success-stories/11-evoting-ensuring-vote-data-immutability-through-blockchain</t>
  </si>
  <si>
    <t xml:space="preserve">S63</t>
  </si>
  <si>
    <t xml:space="preserve">Class 10 / +2 certificates on blockchain</t>
  </si>
  <si>
    <t xml:space="preserve">Pilot to secure school certificates</t>
  </si>
  <si>
    <t xml:space="preserve">School Education Dept</t>
  </si>
  <si>
    <t xml:space="preserve">Announced as pilot</t>
  </si>
  <si>
    <t xml:space="preserve">2018-08-07</t>
  </si>
  <si>
    <t xml:space="preserve">8.2</t>
  </si>
  <si>
    <t xml:space="preserve">S64</t>
  </si>
  <si>
    <t xml:space="preserve">Blockchain beneficiary management system</t>
  </si>
  <si>
    <t xml:space="preserve">Stores scheme-wise approved beneficiary lists and transactions to stop tampering</t>
  </si>
  <si>
    <t xml:space="preserve">IT Department with NIC Blockchain CoE</t>
  </si>
  <si>
    <t xml:space="preserve">Tripura</t>
  </si>
  <si>
    <t xml:space="preserve">IN-TR</t>
  </si>
  <si>
    <t xml:space="preserve">16</t>
  </si>
  <si>
    <t xml:space="preserve">2025-02</t>
  </si>
  <si>
    <t xml:space="preserve">2023-08</t>
  </si>
  <si>
    <t xml:space="preserve">https://inc42.com/buzz/tripura-blockchain-based-beneficiary-management-system-secure-data/</t>
  </si>
  <si>
    <t xml:space="preserve">S65</t>
  </si>
  <si>
    <t xml:space="preserve">Land &amp; revenue records on blockchain</t>
  </si>
  <si>
    <t xml:space="preserve">Online mutation, registration and verification on blockchain</t>
  </si>
  <si>
    <t xml:space="preserve">Uttar Pradesh</t>
  </si>
  <si>
    <t xml:space="preserve">IN-UP</t>
  </si>
  <si>
    <t xml:space="preserve">9</t>
  </si>
  <si>
    <t xml:space="preserve">IIT Kanpur (knowledge partner)</t>
  </si>
  <si>
    <t xml:space="preserve">6-month directive in 2018; eBook says implemented; no official confirmation</t>
  </si>
  <si>
    <t xml:space="preserve">2018-07</t>
  </si>
  <si>
    <t xml:space="preserve">https://www.business-standard.com/article/economy-policy/yogi-adityanath-govt-to-build-blockchain-architecture-for-data-security-118072200331_1.html</t>
  </si>
  <si>
    <t xml:space="preserve">Sources conflict</t>
  </si>
  <si>
    <t xml:space="preserve">S67</t>
  </si>
  <si>
    <t xml:space="preserve">P2P rooftop solar trading pilot (Lucknow)</t>
  </si>
  <si>
    <t xml:space="preserve">Govt-building prosumers trade surplus solar power</t>
  </si>
  <si>
    <t xml:space="preserve">UPPCL, UPNEDA, UPERC</t>
  </si>
  <si>
    <t xml:space="preserve">Energy</t>
  </si>
  <si>
    <t xml:space="preserve">Market access for prosumers</t>
  </si>
  <si>
    <t xml:space="preserve">Power Ledger platform</t>
  </si>
  <si>
    <t xml:space="preserve">Power Ledger</t>
  </si>
  <si>
    <t xml:space="preserve">Power Ledger, ISGF</t>
  </si>
  <si>
    <t xml:space="preserve">Phase-I pilot (6 months)</t>
  </si>
  <si>
    <t xml:space="preserve">2019-01</t>
  </si>
  <si>
    <t xml:space="preserve">2019-11</t>
  </si>
  <si>
    <t xml:space="preserve">https://www.business-standard.com/article/economy-policy/up-govt-introduces-blockchain-to-allow-trading-of-surplus-solar-power-119112601118_1.html</t>
  </si>
  <si>
    <t xml:space="preserve">S68</t>
  </si>
  <si>
    <t xml:space="preserve">Interstate P2P green power trading pilot (India Energy Stack)</t>
  </si>
  <si>
    <t xml:space="preserve">Regulator approved blockchain for interstate renewable P2P trading</t>
  </si>
  <si>
    <t xml:space="preserve">UPERC with PVVNL</t>
  </si>
  <si>
    <t xml:space="preserve">PVVNL</t>
  </si>
  <si>
    <t xml:space="preserve">Pilot trading under way (first trades Feb 2026; 1,164 trades to Jul 2026); pilot extended to 31 Mar 2027</t>
  </si>
  <si>
    <t xml:space="preserve">2026-09-07</t>
  </si>
  <si>
    <t xml:space="preserve">2026-02-18</t>
  </si>
  <si>
    <t xml:space="preserve">https://www.mercomindia.com/uttar-pradesh-allows-blockchain-based-interstate-p2p-green-power-trading-pilot</t>
  </si>
  <si>
    <t xml:space="preserve">S69</t>
  </si>
  <si>
    <t xml:space="preserve">Medical equipment &amp; medicine asset tracking</t>
  </si>
  <si>
    <t xml:space="preserve">Inventory tracking across medical colleges</t>
  </si>
  <si>
    <t xml:space="preserve">Govt medical colleges (Medical Education)</t>
  </si>
  <si>
    <t xml:space="preserve">Uttarakhand</t>
  </si>
  <si>
    <t xml:space="preserve">IN-UK</t>
  </si>
  <si>
    <t xml:space="preserve">5</t>
  </si>
  <si>
    <t xml:space="preserve">Polygon Edge</t>
  </si>
  <si>
    <t xml:space="preserve">Pilot at GMC Haldwani; 6 colleges planned; no later update</t>
  </si>
  <si>
    <t xml:space="preserve">2022-02-28</t>
  </si>
  <si>
    <t xml:space="preserve">7 medical colleges</t>
  </si>
  <si>
    <t xml:space="preserve">https://coingeek.com/2024-sees-india-embracing-blockchain-for-various-use-cases/</t>
  </si>
  <si>
    <t xml:space="preserve">Vendor source</t>
  </si>
  <si>
    <t xml:space="preserve">S70</t>
  </si>
  <si>
    <t xml:space="preserve">Dept of IT, Good Governance &amp; Science and Technology</t>
  </si>
  <si>
    <t xml:space="preserve">3,465 documents; 1 verifications (NIC statistics, 2026-10-14)</t>
  </si>
  <si>
    <t xml:space="preserve">S71</t>
  </si>
  <si>
    <t xml:space="preserve">NFT-based land ownership &amp; mutation records</t>
  </si>
  <si>
    <t xml:space="preserve">NFTs (on Polygon Supernets) as proof of ownership and mutation; QR certificates and printed cards</t>
  </si>
  <si>
    <t xml:space="preserve">New Town Kolkata Development Authority (NKDA)</t>
  </si>
  <si>
    <t xml:space="preserve">West Bengal</t>
  </si>
  <si>
    <t xml:space="preserve">IN-WB</t>
  </si>
  <si>
    <t xml:space="preserve">19</t>
  </si>
  <si>
    <t xml:space="preserve">Polygon Supernets (NFT)</t>
  </si>
  <si>
    <t xml:space="preserve">Airchains</t>
  </si>
  <si>
    <t xml:space="preserve">Launched/announced Jul 2023; live use not confirmed since</t>
  </si>
  <si>
    <t xml:space="preserve">2023-08-09</t>
  </si>
  <si>
    <t xml:space="preserve">2022-06-10</t>
  </si>
  <si>
    <t xml:space="preserve">3.2</t>
  </si>
  <si>
    <t xml:space="preserve">27,000 acres; 5,00,000 NFTs planned (Forkast, Crypto Times, YourStory 2023)</t>
  </si>
  <si>
    <t xml:space="preserve">E1</t>
  </si>
  <si>
    <t xml:space="preserve">https://nkdamar.org/storage/files/order-procedures-delegation-arrangements-to-be-followed-in-cases-of-mutation-etc-dated-29-5-2025.pdf</t>
  </si>
  <si>
    <t xml:space="preserve">Sources disagree on NFT count</t>
  </si>
  <si>
    <t xml:space="preserve">S79</t>
  </si>
  <si>
    <t xml:space="preserve">Birth certificates on blockchain (first in West Bengal)</t>
  </si>
  <si>
    <t xml:space="preserve">Issued West Bengal's first blockchain-recorded birth certificate in December 2018</t>
  </si>
  <si>
    <t xml:space="preserve">First certificate issued Dec 2018; no later update found</t>
  </si>
  <si>
    <t xml:space="preserve">2018-12-20</t>
  </si>
  <si>
    <t xml:space="preserve">2018-12-18</t>
  </si>
  <si>
    <t xml:space="preserve">7.8</t>
  </si>
  <si>
    <t xml:space="preserve">https://webel.in/assets/newsletter/2019_jan/files/basic-html/page31.html</t>
  </si>
  <si>
    <t xml:space="preserve">Found during v1.1 research. WEBEL newsletter (Jan 2019) confirms the 18 Dec 2018 issue date but not the issuer; LatestLY (20 Dec 2018) names NKDA. Separate from S72 (Bankura/Durgapur).</t>
  </si>
  <si>
    <t xml:space="preserve">S73</t>
  </si>
  <si>
    <t xml:space="preserve">Blockchain chain-of-custody for forensic evidence (ICJS)</t>
  </si>
  <si>
    <t xml:space="preserve">Each evidence hand-over adds a block; tamper-proof custody record</t>
  </si>
  <si>
    <t xml:space="preserve">Delhi Forensic Science Laboratory with NIC</t>
  </si>
  <si>
    <t xml:space="preserve">Delhi</t>
  </si>
  <si>
    <t xml:space="preserve">IN-DL</t>
  </si>
  <si>
    <t xml:space="preserve">7</t>
  </si>
  <si>
    <t xml:space="preserve">Launched by Lt Governor</t>
  </si>
  <si>
    <t xml:space="preserve">2023-01</t>
  </si>
  <si>
    <t xml:space="preserve">2023-08-17</t>
  </si>
  <si>
    <t xml:space="preserve">https://informatics.nic.in/files/websites/oct-2023/delhi-takes-a-technological-leap-in-forensic-science-by-blockchain.php</t>
  </si>
  <si>
    <t xml:space="preserve">S74</t>
  </si>
  <si>
    <t xml:space="preserve">Revenue certificates on NIC Document Chain</t>
  </si>
  <si>
    <t xml:space="preserve">Revenue-issued certificates recorded and verified online (certificatechain.nic.in)</t>
  </si>
  <si>
    <t xml:space="preserve">Live; most-used Document Chain issuer for verifications</t>
  </si>
  <si>
    <t xml:space="preserve">8,16,773 documents; 1,53,915 verifications (NIC statistics, 2026-10-14)</t>
  </si>
  <si>
    <t xml:space="preserve">Confirm certificate types</t>
  </si>
  <si>
    <t xml:space="preserve">S75</t>
  </si>
  <si>
    <t xml:space="preserve">Domicile certificate storage &amp; verification (DOVE)</t>
  </si>
  <si>
    <t xml:space="preserve">Hashes of domicile certificates on blockchain; citizens and departments verify instantly</t>
  </si>
  <si>
    <t xml:space="preserve">J&amp;K Government with C-DAC Mumbai</t>
  </si>
  <si>
    <t xml:space="preserve">Jammu and Kashmir</t>
  </si>
  <si>
    <t xml:space="preserve">IN-JK</t>
  </si>
  <si>
    <t xml:space="preserve">1</t>
  </si>
  <si>
    <t xml:space="preserve">C-DAC (MeitY)</t>
  </si>
  <si>
    <t xml:space="preserve">Active (MeitY NBF success story)</t>
  </si>
  <si>
    <t xml:space="preserve">https://blockchain.meity.gov.in/index.php/success-stories/12-domicile-certificate-storage-and-verification-system-online-genuinity-check-of-certificates-is-now-possible-through-blockchain</t>
  </si>
  <si>
    <t xml:space="preserve">S76</t>
  </si>
  <si>
    <t xml:space="preserve">Land registry on blockchain (claimed)</t>
  </si>
  <si>
    <t xml:space="preserve">Opinion article claims an operational blockchain land registry</t>
  </si>
  <si>
    <t xml:space="preserve">Not confirmed by any official source</t>
  </si>
  <si>
    <t xml:space="preserve">https://kashmirobserver.net/2026/09/07/indias-blockchain-experiments-need-an-exit-plan/</t>
  </si>
  <si>
    <t xml:space="preserve">Unverified claim – do not cite as fact</t>
  </si>
  <si>
    <t xml:space="preserve">S77</t>
  </si>
  <si>
    <t xml:space="preserve">Marriage certificates on NIC chain</t>
  </si>
  <si>
    <t xml:space="preserve">Marriage certificates available for verification</t>
  </si>
  <si>
    <t xml:space="preserve">Puducherry</t>
  </si>
  <si>
    <t xml:space="preserve">IN-PY</t>
  </si>
  <si>
    <t xml:space="preserve">34</t>
  </si>
  <si>
    <t xml:space="preserve">Live (verifications listed on NIC dashboard)</t>
  </si>
  <si>
    <t xml:space="preserve">2023-08-18</t>
  </si>
  <si>
    <t xml:space="preserve">15 verifications</t>
  </si>
  <si>
    <t xml:space="preserve">S78</t>
  </si>
  <si>
    <t xml:space="preserve">Ration cards on NIC Document Chain</t>
  </si>
  <si>
    <t xml:space="preserve">Ration card records available for verification</t>
  </si>
  <si>
    <t xml:space="preserve">Dept of Civil Supplies &amp; Consumer Affairs</t>
  </si>
  <si>
    <t xml:space="preserve">2023-08-04</t>
  </si>
  <si>
    <t xml:space="preserve">3,87,616 documents; 828 verifications (NIC statistics, 2026-10-14)</t>
  </si>
  <si>
    <t xml:space="preserve">S11</t>
  </si>
  <si>
    <t xml:space="preserve">700,000+ land records on Avalanche</t>
  </si>
  <si>
    <t xml:space="preserve">Old land records (since 1950s) digitised and anchored on blockchain; kiosks in every sub-district</t>
  </si>
  <si>
    <t xml:space="preserve">Office of Land Records, Dantewada district</t>
  </si>
  <si>
    <t xml:space="preserve">Avalanche (public)</t>
  </si>
  <si>
    <t xml:space="preserve">Avalanche</t>
  </si>
  <si>
    <t xml:space="preserve">Zupple Labs, LegitDoc</t>
  </si>
  <si>
    <t xml:space="preserve">Completed and announced</t>
  </si>
  <si>
    <t xml:space="preserve">2026-01-13</t>
  </si>
  <si>
    <t xml:space="preserve">2025-03</t>
  </si>
  <si>
    <t xml:space="preserve">700,000+ records</t>
  </si>
  <si>
    <t xml:space="preserve">https://www.etvbharat.com/hi/state/blockchain-based-land-records-digitization-dantewada-gets-cm-excellence-award-chhattisgarh-news-cts26011301879</t>
  </si>
  <si>
    <t xml:space="preserve">S38</t>
  </si>
  <si>
    <t xml:space="preserve">Caste certificates on Polygon</t>
  </si>
  <si>
    <t xml:space="preserve">Certificate hash anchored on public chain; QR for instant check</t>
  </si>
  <si>
    <t xml:space="preserve">Gadchiroli district admin (Etapalli)</t>
  </si>
  <si>
    <t xml:space="preserve">About 65,000 certificates issued; featured in NITI Aayog–UNDP Best Practices 2023; no scale-up reported</t>
  </si>
  <si>
    <t xml:space="preserve">2023-05-29</t>
  </si>
  <si>
    <t xml:space="preserve">2022-04-13</t>
  </si>
  <si>
    <t xml:space="preserve">3.4</t>
  </si>
  <si>
    <t xml:space="preserve">~65,000 certificates issued</t>
  </si>
  <si>
    <t xml:space="preserve">https://www.businesstoday.in/technology/news/story/blockchain-based-caste-certification-of-65000-tribals-featured-in-niti-aayog-and-undps-report-383280-2023-05-29</t>
  </si>
  <si>
    <t xml:space="preserve">S46</t>
  </si>
  <si>
    <t xml:space="preserve">Tree plantation drive with geo-tagged QR records on Polygon</t>
  </si>
  <si>
    <t xml:space="preserve">Each sapling geo-tagged with QR code anchored on Polygon for verification</t>
  </si>
  <si>
    <t xml:space="preserve">Dharashiv district administration</t>
  </si>
  <si>
    <t xml:space="preserve">Verification of public works</t>
  </si>
  <si>
    <t xml:space="preserve">Emertech</t>
  </si>
  <si>
    <t xml:space="preserve">Completed (one-time drive)</t>
  </si>
  <si>
    <t xml:space="preserve">2025-07-19</t>
  </si>
  <si>
    <t xml:space="preserve">1,561,929 saplings; 1 lakh+ volunteers</t>
  </si>
  <si>
    <t xml:space="preserve">https://agrowon.esakal.com/agro-special/dharashiv-sets-world-record-15-million-trees-to-be-planted-in-a-day-mj18</t>
  </si>
  <si>
    <t xml:space="preserve">Unverified blockchain claim: the only news source does not mention blockchain and the vendor page was offline in Oct 2026 (deck + vendor sources only).</t>
  </si>
  <si>
    <t xml:space="preserve">S66</t>
  </si>
  <si>
    <t xml:space="preserve">Police complaint portal on Polygon</t>
  </si>
  <si>
    <t xml:space="preserve">Citizens file and track complaints; records cannot be altered by police or complainant; QR code per police station</t>
  </si>
  <si>
    <t xml:space="preserve">Firozabad Police (UP Police)</t>
  </si>
  <si>
    <t xml:space="preserve">Launched as pilot (policecomplaintonblockchain.in); no later status found</t>
  </si>
  <si>
    <t xml:space="preserve">2023-11-27</t>
  </si>
  <si>
    <t xml:space="preserve">2022-10</t>
  </si>
  <si>
    <t xml:space="preserve">https://www.forbesindia.com/article/cryptocurrency/polygon-joins-hands-with-firozabad-police-to-use-blockchain-technology-in-battling-crime/80533/1</t>
  </si>
  <si>
    <t xml:space="preserve">S27</t>
  </si>
  <si>
    <t xml:space="preserve">Urban property records on NIC Property Chain (e-Aasthi / e-Swathu)</t>
  </si>
  <si>
    <t xml:space="preserve">Urban property records recorded for verification</t>
  </si>
  <si>
    <t xml:space="preserve">City Corporations &amp; Town Municipal Councils</t>
  </si>
  <si>
    <t xml:space="preserve">43,565 documents; 6,084 verifications (NIC statistics, 2026-10-14)</t>
  </si>
  <si>
    <t xml:space="preserve">S43</t>
  </si>
  <si>
    <t xml:space="preserve">Land, property &amp; tax records anchored on Polygon</t>
  </si>
  <si>
    <t xml:space="preserve">Record hashes on-chain; originals stay in state registry</t>
  </si>
  <si>
    <t xml:space="preserve">Amravati city administration / revenue depts</t>
  </si>
  <si>
    <t xml:space="preserve">Polygon (public L2)</t>
  </si>
  <si>
    <t xml:space="preserve">Testing to start; no timetable</t>
  </si>
  <si>
    <t xml:space="preserve">2025-11-01</t>
  </si>
  <si>
    <t xml:space="preserve">https://navbharatlive.com/maharashtra/amravati/amravati-municipal-corporation-blockchain-technology-digital-governance-1404999.html</t>
  </si>
  <si>
    <t xml:space="preserve">S72</t>
  </si>
  <si>
    <t xml:space="preserve">Birth certificates on blockchain</t>
  </si>
  <si>
    <t xml:space="preserve">Certificate hash + issuer on chain for third-party checks</t>
  </si>
  <si>
    <t xml:space="preserve">Bankura &amp; Durgapur Municipal Corporations</t>
  </si>
  <si>
    <t xml:space="preserve">Token platform (LYNK)</t>
  </si>
  <si>
    <t xml:space="preserve">Lynked.World</t>
  </si>
  <si>
    <t xml:space="preserve">Planned launch Sep 2018; no later update</t>
  </si>
  <si>
    <t xml:space="preserve">2018-08-28</t>
  </si>
  <si>
    <t xml:space="preserve">Target 1 million certificates</t>
  </si>
  <si>
    <t xml:space="preserve">https://inc42.com/?p=135989</t>
  </si>
  <si>
    <t xml:space="preserve">event_id</t>
  </si>
  <si>
    <t xml:space="preserve">event_type</t>
  </si>
  <si>
    <t xml:space="preserve">date</t>
  </si>
  <si>
    <t xml:space="preserve">date_precision</t>
  </si>
  <si>
    <t xml:space="preserve">source_id</t>
  </si>
  <si>
    <t xml:space="preserve">evidence</t>
  </si>
  <si>
    <t xml:space="preserve">recorded_by</t>
  </si>
  <si>
    <t xml:space="preserve">recorded_on</t>
  </si>
  <si>
    <t xml:space="preserve">C01-E01</t>
  </si>
  <si>
    <t xml:space="preserve">announced</t>
  </si>
  <si>
    <t xml:space="preserve">month</t>
  </si>
  <si>
    <t xml:space="preserve">R01</t>
  </si>
  <si>
    <t xml:space="preserve">PIB backgrounder: National Blockchain Framework was initiated in March 2021 with a budget outlay of Rs 64.76 crore.</t>
  </si>
  <si>
    <t xml:space="preserve">AI-assisted research (Claude), reviewed by author</t>
  </si>
  <si>
    <t xml:space="preserve">C01-E02</t>
  </si>
  <si>
    <t xml:space="preserve">live</t>
  </si>
  <si>
    <t xml:space="preserve">day</t>
  </si>
  <si>
    <t xml:space="preserve">R34</t>
  </si>
  <si>
    <t xml:space="preserve">MeitY Secretary S. Krishnan launched Vishvasya stack offering BaaS on NIC data centres at Bhubaneswar, Pune and Hyderabad.</t>
  </si>
  <si>
    <t xml:space="preserve">C01-E03</t>
  </si>
  <si>
    <t xml:space="preserve">latest_update</t>
  </si>
  <si>
    <t xml:space="preserve">B01</t>
  </si>
  <si>
    <t xml:space="preserve">NIC dashboard lists 6 live blockchain products and 4 PoCs; per dataset, as on 03-10-2026: 12 orgs/states, 22 departments.</t>
  </si>
  <si>
    <t xml:space="preserve">C02-E01</t>
  </si>
  <si>
    <t xml:space="preserve">NBFLite sandbox launched with Vishvasya stack for startups/academia for rapid prototyping, research and capacity building.</t>
  </si>
  <si>
    <t xml:space="preserve">C02-E02</t>
  </si>
  <si>
    <t xml:space="preserve">PIB describes NBFLite as sandbox version of the stack encouraging innovation, experimentation and capacity building, with smart-contract templates.</t>
  </si>
  <si>
    <t xml:space="preserve">C03-E01</t>
  </si>
  <si>
    <t xml:space="preserve">Praamaanik, a blockchain-enabled solution for verifying mobile app origin, launched alongside Vishvasya stack.</t>
  </si>
  <si>
    <t xml:space="preserve">C03-E02</t>
  </si>
  <si>
    <t xml:space="preserve">N12</t>
  </si>
  <si>
    <t xml:space="preserve">Rajya Sabha reply: 14 citizen-centric apps of MP State Electronics Development Corporation onboarded; users verify via M-Kavach-2 app.</t>
  </si>
  <si>
    <t xml:space="preserve">C04-E01</t>
  </si>
  <si>
    <t xml:space="preserve">N63</t>
  </si>
  <si>
    <t xml:space="preserve">MeitY Secretary S. Krishnan launched Blockchain India Challenge, implemented by C-DAC, for DPIIT-recognised startups with government departments.</t>
  </si>
  <si>
    <t xml:space="preserve">C04-E02</t>
  </si>
  <si>
    <t xml:space="preserve">Rajya Sabha reply sets out four-stage incentives: up to 40/30/20/10 entries receiving Rs 1.5 lakh/4 lakh/10 lakh/50 lakh.</t>
  </si>
  <si>
    <t xml:space="preserve">C05-E01</t>
  </si>
  <si>
    <t xml:space="preserve">W008</t>
  </si>
  <si>
    <t xml:space="preserve">Report says Minister Ravi Shankar Prasad will inaugurate NIC's Blockchain CoE in Bengaluru tomorrow, offering Blockchain as a Service.</t>
  </si>
  <si>
    <t xml:space="preserve">C05-E02</t>
  </si>
  <si>
    <t xml:space="preserve">W009</t>
  </si>
  <si>
    <t xml:space="preserve">Ravi Shankar Prasad inaugurated NIC Centre of Excellence in Blockchain Technology in Bengaluru on Saturday (18 Jan 2020), providing BaaS.</t>
  </si>
  <si>
    <t xml:space="preserve">C05-E03</t>
  </si>
  <si>
    <t xml:space="preserve">scaled</t>
  </si>
  <si>
    <t xml:space="preserve">Vishvasya stack launched to offer Blockchain-as-a-Service on geographically distributed NIC data centres (Bhubaneswar, Pune, Hyderabad).</t>
  </si>
  <si>
    <t xml:space="preserve">C05-E04</t>
  </si>
  <si>
    <t xml:space="preserve">CoE dashboard lists 6 products and 4 PoCs; per dataset, 11.25 crore documents, 12 orgs/states, 22 departments as on 03-10-2026.</t>
  </si>
  <si>
    <t xml:space="preserve">C06-E01</t>
  </si>
  <si>
    <t xml:space="preserve">W191</t>
  </si>
  <si>
    <t xml:space="preserve">Live by (earliest dated evidence): NIC Informatics Apr 2024 lists a deployed Document Chain holding 280 lakh documents for seven onboarded departments.</t>
  </si>
  <si>
    <t xml:space="preserve">C06-E02</t>
  </si>
  <si>
    <t xml:space="preserve">NIC CoE dashboard still lists Document Chain among its six live blockchain products.</t>
  </si>
  <si>
    <t xml:space="preserve">C07-E01</t>
  </si>
  <si>
    <t xml:space="preserve">Live by (earliest production-scale evidence): PIB says over 34 crore property documents had been verified through the blockchain platform as of 21 October 2025.</t>
  </si>
  <si>
    <t xml:space="preserve">C07-E02</t>
  </si>
  <si>
    <t xml:space="preserve">NIC CoE dashboard still lists Property Chain among its six live blockchain products.</t>
  </si>
  <si>
    <t xml:space="preserve">C08-E01</t>
  </si>
  <si>
    <t xml:space="preserve">R16</t>
  </si>
  <si>
    <t xml:space="preserve">NIC onboarding table (June 2024): Ministry of Justice / Supreme Court bail orders, 'available since' 13/11/2023.</t>
  </si>
  <si>
    <t xml:space="preserve">C08-E02</t>
  </si>
  <si>
    <t xml:space="preserve">Dashboard lists Judiciary Chain as a live product; per dataset, Supreme Court 442 documents and 983 verifications as on 03-10-2026.</t>
  </si>
  <si>
    <t xml:space="preserve">C08-E03</t>
  </si>
  <si>
    <t xml:space="preserve">B11</t>
  </si>
  <si>
    <t xml:space="preserve">NIC statistics file (data date 2026-10-14) lists Ministry of Law &amp; Justice – Supreme Court of India: 447 documents.</t>
  </si>
  <si>
    <t xml:space="preserve">Derived from official NIC snapshot</t>
  </si>
  <si>
    <t xml:space="preserve">C09-E01</t>
  </si>
  <si>
    <t xml:space="preserve">W192</t>
  </si>
  <si>
    <t xml:space="preserve">Live by this date: eCommittee newsletter says Karnataka HC judgment verifications on blockchain are counted from Oct 2025 (7,55,945 by 2 Apr 2026); the counter start is not a stated go-live date.</t>
  </si>
  <si>
    <t xml:space="preserve">C09-E02</t>
  </si>
  <si>
    <t xml:space="preserve">Dashboard lists ICJS Chain among six live products; per dataset, 17,37,549 documents and 20,95,354 verifications as on 03-10-2026.</t>
  </si>
  <si>
    <t xml:space="preserve">C09-E03</t>
  </si>
  <si>
    <t xml:space="preserve">NIC statistics file (data date 2026-10-14) lists Ministry of Law &amp; Justice – High Court of Karnataka: 17,41,654 documents.</t>
  </si>
  <si>
    <t xml:space="preserve">C10-E01</t>
  </si>
  <si>
    <t xml:space="preserve">Dashboard PoC list: Assam - Land Records, Blood Bank, GST Chain, Public Distribution System.</t>
  </si>
  <si>
    <t xml:space="preserve">C10-E02</t>
  </si>
  <si>
    <t xml:space="preserve">year</t>
  </si>
  <si>
    <t xml:space="preserve">Start/announcement date recorded in v1.0.0 ("2023–25").</t>
  </si>
  <si>
    <t xml:space="preserve">v1.0.0 field</t>
  </si>
  <si>
    <t xml:space="preserve">C11-E01</t>
  </si>
  <si>
    <t xml:space="preserve">Onboarding table: Legal Metrology packaged-commodity registration (from 15/06/2023), W&amp;M model approvals (01/01/2023), importer certificates (18/09/2023) on chain.</t>
  </si>
  <si>
    <t xml:space="preserve">C11-E02</t>
  </si>
  <si>
    <t xml:space="preserve">Per dataset's reading of dashboard: Legal Metrology 22,709 documents, 16 verifications; tables load dynamically, not re-verified on 4 Oct 2026.</t>
  </si>
  <si>
    <t xml:space="preserve">C11-E03</t>
  </si>
  <si>
    <t xml:space="preserve">NIC statistics file (data date 2026-10-14) lists Ministry of Consumer Affairs – Department of Consumer Affairs: 23,047 documents.</t>
  </si>
  <si>
    <t xml:space="preserve">C12-E01</t>
  </si>
  <si>
    <t xml:space="preserve">Per dataset's reading of dashboard: MoRD Rural Skills Division, 409 documents, 24 verifications; table loads dynamically, not re-verified.</t>
  </si>
  <si>
    <t xml:space="preserve">C12-E02</t>
  </si>
  <si>
    <t xml:space="preserve">Live by this date: the NIC statistics file lists 409 documents for Ministry of Rural Development – Rural Skills Division (earliest snapshot showing use; actual start may be earlier).</t>
  </si>
  <si>
    <t xml:space="preserve">C12-E03</t>
  </si>
  <si>
    <t xml:space="preserve">NIC statistics file (data date 2026-10-14) lists Ministry of Rural Development – Rural Skills Division: 4,553 documents.</t>
  </si>
  <si>
    <t xml:space="preserve">C13-E01</t>
  </si>
  <si>
    <t xml:space="preserve">pilot_started</t>
  </si>
  <si>
    <t xml:space="preserve">R05</t>
  </si>
  <si>
    <t xml:space="preserve">Gujarat CBDC-based PDS pilot and Puducherry PMGKAY food-subsidy pilot (RBI, PFMS, Canara Bank) both began February 2026.</t>
  </si>
  <si>
    <t xml:space="preserve">C13-E02</t>
  </si>
  <si>
    <t xml:space="preserve">N44</t>
  </si>
  <si>
    <t xml:space="preserve">Chandigarh and Dadra &amp; Nagar Haveli achieved complete CBDC-based food-subsidy transfer for all eligible PMGKAY beneficiaries.</t>
  </si>
  <si>
    <t xml:space="preserve">C13-E03</t>
  </si>
  <si>
    <t xml:space="preserve">Rollout in two UTs called a template for other states and UTs.</t>
  </si>
  <si>
    <t xml:space="preserve">C14-E01</t>
  </si>
  <si>
    <t xml:space="preserve">R02</t>
  </si>
  <si>
    <t xml:space="preserve">MeitY Rajya Sabha reply (reported 16 Dec 2024) lists Ministry of Corporate Affairs among organisations developing blockchain solutions with government.</t>
  </si>
  <si>
    <t xml:space="preserve">C14-E02</t>
  </si>
  <si>
    <t xml:space="preserve">'Many organisations are developing blockchain solutions in association with the government', including Ministry of Corporate Affairs.</t>
  </si>
  <si>
    <t xml:space="preserve">C15-E01</t>
  </si>
  <si>
    <t xml:space="preserve">N46</t>
  </si>
  <si>
    <t xml:space="preserve">MoU among CCI, Ministry of Textiles and TEXPROCIL formalised Kasturi Cotton Bharat with Rs 30 crore (incl. Rs 15 crore industry).</t>
  </si>
  <si>
    <t xml:space="preserve">C15-E02</t>
  </si>
  <si>
    <t xml:space="preserve">Live by (earliest dated evidence): Lok Sabha reply says a Kasturi microsite with QR verification and blockchain technology has been developed; 343 ginning units registered.</t>
  </si>
  <si>
    <t xml:space="preserve">C15-E03</t>
  </si>
  <si>
    <t xml:space="preserve">W199</t>
  </si>
  <si>
    <t xml:space="preserve">Kasturi Cotton, run by CCI and Texprocil, uses QR-coded blockchain tracking (KC-Track) from farm to garment; certified bales to feed new 2026/27-2030/31 cotton mission.</t>
  </si>
  <si>
    <t xml:space="preserve">C16-E01</t>
  </si>
  <si>
    <t xml:space="preserve">W015</t>
  </si>
  <si>
    <t xml:space="preserve">PIB advance release: PM would give digital certificates to PMRBP 2022 winners using blockchain, first time; 2021 awardees also included.</t>
  </si>
  <si>
    <t xml:space="preserve">C16-E02</t>
  </si>
  <si>
    <t xml:space="preserve">W014</t>
  </si>
  <si>
    <t xml:space="preserve">PM gave blockchain digital certificates (IIT Kanpur National Blockchain Project) to 61 PMRBP 2021 and 2022 winners during the 24 Jan function.</t>
  </si>
  <si>
    <t xml:space="preserve">C16-E03</t>
  </si>
  <si>
    <t xml:space="preserve">W016</t>
  </si>
  <si>
    <t xml:space="preserve">IIT Kanpur: 61 awardees (29 for 2022, 32 for 2021) got SSI/blockchain certificates in mobile wallets, built by incubatee CRUBN.</t>
  </si>
  <si>
    <t xml:space="preserve">C17-E01</t>
  </si>
  <si>
    <t xml:space="preserve">W018</t>
  </si>
  <si>
    <t xml:space="preserve">Railway Minister Vaishnaw sought a proposal for a foolproof blockchain-based signalling system; IIT Kharagpur professor writing the programme (article 30 Jun 2023).</t>
  </si>
  <si>
    <t xml:space="preserve">C17-E02</t>
  </si>
  <si>
    <t xml:space="preserve">W019</t>
  </si>
  <si>
    <t xml:space="preserve">Design blueprint about 15 days from completion; project would take two years once the Ministry approves the design; joint IIT KGP–IIT BBS team planned.</t>
  </si>
  <si>
    <t xml:space="preserve">C18-E01</t>
  </si>
  <si>
    <t xml:space="preserve">W020</t>
  </si>
  <si>
    <t xml:space="preserve">NITI Aayog and GNFC signed Statement of Intent to jointly develop a blockchain PoC for fertilizer subsidy disbursement.</t>
  </si>
  <si>
    <t xml:space="preserve">C18-E02</t>
  </si>
  <si>
    <t xml:space="preserve">pilot_completed</t>
  </si>
  <si>
    <t xml:space="preserve">R03</t>
  </si>
  <si>
    <t xml:space="preserve">Draft strategy describes completed PoC with results: shipment acknowledgements in minutes and near real-time B1 quantity certification instead of weeks.</t>
  </si>
  <si>
    <t xml:space="preserve">C18-E03</t>
  </si>
  <si>
    <t xml:space="preserve">Says a scaled-up version of the pilot intends to add the certifying agency as a node; no scale-up reported afterwards.</t>
  </si>
  <si>
    <t xml:space="preserve">C19-E01</t>
  </si>
  <si>
    <t xml:space="preserve">W021</t>
  </si>
  <si>
    <t xml:space="preserve">NITI Aayog and Oracle signed Statement of Intent to pilot blockchain/IoT drug supply chain, with Apollo Hospitals and Strides Pharma as partners.</t>
  </si>
  <si>
    <t xml:space="preserve">C19-E02</t>
  </si>
  <si>
    <t xml:space="preserve">NITI strategy describes the drug track-and-trace pilot in past tense: transactions were pushed automatically as drugs moved; Oracle credited for figures.</t>
  </si>
  <si>
    <t xml:space="preserve">C19-E03</t>
  </si>
  <si>
    <t xml:space="preserve">Drug track-and-trace listed among four NITI Aayog PoCs, with lessons on ERP integration, IoT middleware and barcode scanning; no next steps stated.</t>
  </si>
  <si>
    <t xml:space="preserve">C20-E01</t>
  </si>
  <si>
    <t xml:space="preserve">W022</t>
  </si>
  <si>
    <t xml:space="preserve">NITI Aayog starting IndiaChain, an IndiaStack-linked national blockchain; discussions began about two months earlier; too early for projections.</t>
  </si>
  <si>
    <t xml:space="preserve">C20-E02</t>
  </si>
  <si>
    <t xml:space="preserve">W023</t>
  </si>
  <si>
    <t xml:space="preserve">Inc42: beyond a white paper, IndiaChain never really kicked off on the ground; focus shifted to MeitY's Dec 2021 National Blockchain Strategy.</t>
  </si>
  <si>
    <t xml:space="preserve">O01-E01</t>
  </si>
  <si>
    <t xml:space="preserve">W024</t>
  </si>
  <si>
    <t xml:space="preserve">Budget speech: FM proposed introducing a digital rupee 'using blockchain and other technology', to be issued by RBI from 2022-23.</t>
  </si>
  <si>
    <t xml:space="preserve">O01-E02</t>
  </si>
  <si>
    <t xml:space="preserve">W026</t>
  </si>
  <si>
    <t xml:space="preserve">RBI: first e₹-W pilot starts 1 Nov 2022 for secondary-market government securities settlement with nine banks.</t>
  </si>
  <si>
    <t xml:space="preserve">O01-E03</t>
  </si>
  <si>
    <t xml:space="preserve">R06</t>
  </si>
  <si>
    <t xml:space="preserve">RBI FAQ (updated 1 Oct 2026): e₹ usage 'currently being piloted' in retail and wholesale; 19 banks offer wallets; 16 e₹-W participants.</t>
  </si>
  <si>
    <t xml:space="preserve">O02-E01</t>
  </si>
  <si>
    <t xml:space="preserve">N49</t>
  </si>
  <si>
    <t xml:space="preserve">Citing Economic Times: RBI looking to develop a blockchain trade-finance PoC with HDFC, ICICI, SBI; IBM, Corda, SettleMint providing tech.</t>
  </si>
  <si>
    <t xml:space="preserve">O02-E02</t>
  </si>
  <si>
    <t xml:space="preserve">W030</t>
  </si>
  <si>
    <t xml:space="preserve">RBIH closure report: Interoperable DLT PoC on inland letters of credit kicked off with a workshop in June 2022; 11 banks participated.</t>
  </si>
  <si>
    <t xml:space="preserve">O02-E03</t>
  </si>
  <si>
    <t xml:space="preserve">Two two-week rounds; PoC closed July 2022; participants rated it 8.5/10; Hyperledger-Corda interoperability demonstrated.</t>
  </si>
  <si>
    <t xml:space="preserve">O02-E04</t>
  </si>
  <si>
    <t xml:space="preserve">N54</t>
  </si>
  <si>
    <t xml:space="preserve">Year review says RBI Innovation Hub 'piloted' a multi-bank letter-of-credit trade finance solution; no outcome or rollout given.</t>
  </si>
  <si>
    <t xml:space="preserve">O03-E01</t>
  </si>
  <si>
    <t xml:space="preserve">W033</t>
  </si>
  <si>
    <t xml:space="preserve">RBI selected five entities, including IBDIC's blockchain deep-tier financing (invoice tokenisation) solution, for the Fifth Cohort (Theme Neutral) test phase.</t>
  </si>
  <si>
    <t xml:space="preserve">O03-E02</t>
  </si>
  <si>
    <t xml:space="preserve">Selected entities to begin testing their solutions from August 2024.</t>
  </si>
  <si>
    <t xml:space="preserve">O03-E03</t>
  </si>
  <si>
    <t xml:space="preserve">W034</t>
  </si>
  <si>
    <t xml:space="preserve">RBI: IBDIC's blockchain deep-tier financing product found viable and exited the sandbox; may be considered for adoption by regulated entities.</t>
  </si>
  <si>
    <t xml:space="preserve">O03-E04</t>
  </si>
  <si>
    <t xml:space="preserve">N48</t>
  </si>
  <si>
    <t xml:space="preserve">MediaNama: product cleared sandbox; adoption by regulated entities is conditional on compliance; no rollout plans described.</t>
  </si>
  <si>
    <t xml:space="preserve">O04-E01</t>
  </si>
  <si>
    <t xml:space="preserve">W038</t>
  </si>
  <si>
    <t xml:space="preserve">IDRBT white paper (January 2017) summarises blockchain experiment with Indian banks and a PoC architecture simulating a clearing network.</t>
  </si>
  <si>
    <t xml:space="preserve">O04-E02</t>
  </si>
  <si>
    <t xml:space="preserve">W036</t>
  </si>
  <si>
    <t xml:space="preserve">IDRBT developed and tested a blockchain trade-finance PoC with NPCI, banks and MonetaGo; reported as completed (17 Jan 2017).</t>
  </si>
  <si>
    <t xml:space="preserve">O04-E03</t>
  </si>
  <si>
    <t xml:space="preserve">2017-09-04</t>
  </si>
  <si>
    <t xml:space="preserve">W039</t>
  </si>
  <si>
    <t xml:space="preserve">IDRBT, after its January 2017 trade-finance PoC, announced plans for a blockchain platform for banking applications; no launch date given.</t>
  </si>
  <si>
    <t xml:space="preserve">O04-E04</t>
  </si>
  <si>
    <t xml:space="preserve">R04</t>
  </si>
  <si>
    <t xml:space="preserve">Status as recorded in v1.0.0: PoCs completed</t>
  </si>
  <si>
    <t xml:space="preserve">O05-E01</t>
  </si>
  <si>
    <t xml:space="preserve">W041</t>
  </si>
  <si>
    <t xml:space="preserve">NSDL: SEBI on 13 Aug 2021 set protocols for issuers, trustees and rating agencies to record debenture information on the DLT platform.</t>
  </si>
  <si>
    <t xml:space="preserve">O05-E02</t>
  </si>
  <si>
    <t xml:space="preserve">R08</t>
  </si>
  <si>
    <t xml:space="preserve">SEBI: from 1 April 2022 asset recording/verification, allotment, listing and interest/redemption for debentures move to the DLT system.</t>
  </si>
  <si>
    <t xml:space="preserve">O05-E03</t>
  </si>
  <si>
    <t xml:space="preserve">W044</t>
  </si>
  <si>
    <t xml:space="preserve">PIB NBF backgrounder: NSDL's DLT platform lets issuers and trustees record charges, monitor asset cover and track covenants; tamper-proof, timestamped ledger.</t>
  </si>
  <si>
    <t xml:space="preserve">O06-E01</t>
  </si>
  <si>
    <t xml:space="preserve">W045</t>
  </si>
  <si>
    <t xml:space="preserve">TRAI: TCCCPR 2018 issued 19 July 2018, fully effective 28 February 2019, setting up the DLT-based commercial communication regime.</t>
  </si>
  <si>
    <t xml:space="preserve">O06-E02</t>
  </si>
  <si>
    <t xml:space="preserve">Access providers activated SMS template scrubbing on 8 March 2021; suspended seven days after failures; resumed 17 March 2021.</t>
  </si>
  <si>
    <t xml:space="preserve">O06-E03</t>
  </si>
  <si>
    <t xml:space="preserve">W046</t>
  </si>
  <si>
    <t xml:space="preserve">Message traceability enforced: from 11 Dec 2024 SMS via undeclared PE-telemarketer chains on DLT are rejected; about 1.13 lakh PEs to onboard.</t>
  </si>
  <si>
    <t xml:space="preserve">O06-E04</t>
  </si>
  <si>
    <t xml:space="preserve">PIB NBF backgrounder: TRAI requires PEs and telemarketers to register message chains on DLT; over 1.13 lakh entities; with RBI, SEBI, NIC, C-DAC.</t>
  </si>
  <si>
    <t xml:space="preserve">O07-E01</t>
  </si>
  <si>
    <t xml:space="preserve">W049</t>
  </si>
  <si>
    <t xml:space="preserve">HT (17 Feb 2020 edition, PTI): ECI partnered with IIT Madras on 'block chain' remote voting; in R&amp;D, prototype first.</t>
  </si>
  <si>
    <t xml:space="preserve">O07-E02</t>
  </si>
  <si>
    <t xml:space="preserve">W054</t>
  </si>
  <si>
    <t xml:space="preserve">NIC Informatics (Jan 2022): blockchain remote voting system for migrants and in-service voters; PoC was demonstrated to ECI. No deployment reported.</t>
  </si>
  <si>
    <t xml:space="preserve">O08-E01</t>
  </si>
  <si>
    <t xml:space="preserve">N56</t>
  </si>
  <si>
    <t xml:space="preserve">Phase III vision document (Executive Summary, key goals) lists 'digital signatures &amp; blockchain to ensure authentication &amp; security' of court documents.</t>
  </si>
  <si>
    <t xml:space="preserve">O08-E02</t>
  </si>
  <si>
    <t xml:space="preserve">W060</t>
  </si>
  <si>
    <t xml:space="preserve">IANS on Law Minister's reply: Phase III earmarks Rs 53.57 crore for 'Future Technological Advancements (AI, Blockchain, etc.)'; AI still in controlled pilots.</t>
  </si>
  <si>
    <t xml:space="preserve">O09-E01</t>
  </si>
  <si>
    <t xml:space="preserve">N85</t>
  </si>
  <si>
    <t xml:space="preserve">Narasimha &amp; Bagchi JJ suggested blockchain for land registration; asked Law Commission to study reform and Union to lead initiative with States.</t>
  </si>
  <si>
    <t xml:space="preserve">O09-E02</t>
  </si>
  <si>
    <t xml:space="preserve">W064</t>
  </si>
  <si>
    <t xml:space="preserve">Separate SC bench (Bindal &amp; Manmohan JJ) urged governments to digitise land records with tamper-proof tech like blockchain; no implementation reported.</t>
  </si>
  <si>
    <t xml:space="preserve">O10-E01</t>
  </si>
  <si>
    <t xml:space="preserve">W065</t>
  </si>
  <si>
    <t xml:space="preserve">RBI Governor at Global Fintech Fest: RBI has conceptualised Unified Markets Interface to tokenise financial assets and settle using wholesale CBDC.</t>
  </si>
  <si>
    <t xml:space="preserve">O10-E02</t>
  </si>
  <si>
    <t xml:space="preserve">W066</t>
  </si>
  <si>
    <t xml:space="preserve">RBI official said tokenisation pilot with a few banks, anchored on wholesale CBDC, would launch on 8 October 2025.</t>
  </si>
  <si>
    <t xml:space="preserve">O10-E03</t>
  </si>
  <si>
    <t xml:space="preserve">W068</t>
  </si>
  <si>
    <t xml:space="preserve">SEBI launched 'Demat 2.0' pilot: Rs 1,025 crore tokenised bonds (REC, L&amp;T, IIFL) settled in wholesale e-rupee via RBI's UMI.</t>
  </si>
  <si>
    <t xml:space="preserve">O11-E01</t>
  </si>
  <si>
    <t xml:space="preserve">W071</t>
  </si>
  <si>
    <t xml:space="preserve">Civil Aviation Ministry released Digi Yatra policy for biometric passenger processing; Bengaluru and Hyderabad targeted for pilot by Feb 2019.</t>
  </si>
  <si>
    <t xml:space="preserve">O11-E02</t>
  </si>
  <si>
    <t xml:space="preserve">W072</t>
  </si>
  <si>
    <t xml:space="preserve">Four AAI and three joint-venture airports completed preliminary testing of Digi Yatra biometric boarding; first phase to go live in 2022.</t>
  </si>
  <si>
    <t xml:space="preserve">O11-E03</t>
  </si>
  <si>
    <t xml:space="preserve">W073</t>
  </si>
  <si>
    <t xml:space="preserve">Lok Sabha reply: Digi Yatra launched on 1 Dec 2022 at Delhi, Bengaluru and Varanasi airports.</t>
  </si>
  <si>
    <t xml:space="preserve">O11-E04</t>
  </si>
  <si>
    <t xml:space="preserve">W074</t>
  </si>
  <si>
    <t xml:space="preserve">Minister inaugurated Digi Yatra at 9 more airports, total 24; 3 crore passengers have used it, 55 lakh app downloads.</t>
  </si>
  <si>
    <t xml:space="preserve">O11-E05</t>
  </si>
  <si>
    <t xml:space="preserve">W077</t>
  </si>
  <si>
    <t xml:space="preserve">India to trial Digi Yatra for international departures at Delhi, Mumbai, Bengaluru, Hyderabad, Cochin, Oct-Dec 2026, using e-passport plus selfie.</t>
  </si>
  <si>
    <t xml:space="preserve">O12-E01</t>
  </si>
  <si>
    <t xml:space="preserve">W079</t>
  </si>
  <si>
    <t xml:space="preserve">Vendor blog describes GS1 ghee traceability pilot (with Maahi Milk) on Hyperledger Fabric with consumer QR scanning.</t>
  </si>
  <si>
    <t xml:space="preserve">O12-E02</t>
  </si>
  <si>
    <t xml:space="preserve">N74</t>
  </si>
  <si>
    <t xml:space="preserve">At NDDB Diamond Jubilee, Gir Ghee (Mother Dairy) and Badri Ghee (UCDF) launched, using Bharat Pashudhan traceability mechanism.</t>
  </si>
  <si>
    <t xml:space="preserve">O12-E03</t>
  </si>
  <si>
    <t xml:space="preserve">W078</t>
  </si>
  <si>
    <t xml:space="preserve">NDDB Annual Report 2024-25 records launch of Mother Dairy Gir Ghee and Badri Ghee with traceability under Bharat Pashudhan platform.</t>
  </si>
  <si>
    <t xml:space="preserve">O12-E04</t>
  </si>
  <si>
    <t xml:space="preserve">D01</t>
  </si>
  <si>
    <t xml:space="preserve">Status as recorded in v1.0.0: Live; showcased in Republic Day 2025 tableau (per deck)</t>
  </si>
  <si>
    <t xml:space="preserve">O13-E01</t>
  </si>
  <si>
    <t xml:space="preserve">W081</t>
  </si>
  <si>
    <t xml:space="preserve">IRCTC announced NFT souvenir tickets for Holi on Lucknow-New Delhi Tejas Express (82501/82502), 20 March-2 April 2024, with NFTtrace.</t>
  </si>
  <si>
    <t xml:space="preserve">O13-E02</t>
  </si>
  <si>
    <t xml:space="preserve">N64</t>
  </si>
  <si>
    <t xml:space="preserve">IRCTC previously issued limited NFT train tickets during Holi in March 2024.</t>
  </si>
  <si>
    <t xml:space="preserve">O13-E03</t>
  </si>
  <si>
    <t xml:space="preserve">IRCTC with Chaincode Consulting and NFTtrace to issue Polygon NFT tickets for MahaKumbh Mela travellers.</t>
  </si>
  <si>
    <t xml:space="preserve">O14-E01</t>
  </si>
  <si>
    <t xml:space="preserve">W082</t>
  </si>
  <si>
    <t xml:space="preserve">CBSE press note: Academic Blockchain Documents (ABCD) with NIC records results/certificates tamper-proof, verifiable at cbse.certchain.nic.in.</t>
  </si>
  <si>
    <t xml:space="preserve">O14-E02</t>
  </si>
  <si>
    <t xml:space="preserve">Class X/XII certificates of 2019-2021 available on blockchain via cbse.certchain.nic.in; NIC nodes at Bangalore, Pune, Jaipur.</t>
  </si>
  <si>
    <t xml:space="preserve">O14-E03</t>
  </si>
  <si>
    <t xml:space="preserve">NIC dashboard (as on 03-10-2026, per batch capture): CBSE has 2,10,71,556 documents and 85,261 verifications on Certificate Chain.</t>
  </si>
  <si>
    <t xml:space="preserve">O14-E04</t>
  </si>
  <si>
    <t xml:space="preserve">NIC statistics file (data date 2026-10-14) lists Central Board of Secondary Education: 2,10,71,556 documents.</t>
  </si>
  <si>
    <t xml:space="preserve">O15-E01</t>
  </si>
  <si>
    <t xml:space="preserve">W084</t>
  </si>
  <si>
    <t xml:space="preserve">At IIT Kanpur's 54th convocation, PM issued digital degrees through in-house blockchain-driven technology.</t>
  </si>
  <si>
    <t xml:space="preserve">O15-E02</t>
  </si>
  <si>
    <t xml:space="preserve">N47</t>
  </si>
  <si>
    <t xml:space="preserve">Same National Blockchain Project technology used to issue digital certificates to 61 PM Rashtriya Bal Puraskar 2022 awardees.</t>
  </si>
  <si>
    <t xml:space="preserve">O15-E03</t>
  </si>
  <si>
    <t xml:space="preserve">2024-06-29</t>
  </si>
  <si>
    <t xml:space="preserve">W088</t>
  </si>
  <si>
    <t xml:space="preserve">57th convocation: graduates can access digital degrees through IIT Kanpur's in-house blockchain application; forgery-proof, globally verifiable.</t>
  </si>
  <si>
    <t xml:space="preserve">O15-E04</t>
  </si>
  <si>
    <t xml:space="preserve">Status as recorded in v1.0.0: In use</t>
  </si>
  <si>
    <t xml:space="preserve">O16-E01</t>
  </si>
  <si>
    <t xml:space="preserve">R10</t>
  </si>
  <si>
    <t xml:space="preserve">Coffee Board of India announced blockchain-based coffee marketplace app with Eka Plus, described as a pilot.</t>
  </si>
  <si>
    <t xml:space="preserve">O16-E02</t>
  </si>
  <si>
    <t xml:space="preserve">Marketplace launched 28 March 2019 as a pilot project for bean-to-cup traceability and fewer intermediaries.</t>
  </si>
  <si>
    <t xml:space="preserve">O16-E03</t>
  </si>
  <si>
    <t xml:space="preserve">R11</t>
  </si>
  <si>
    <t xml:space="preserve">After a tepid launch, about 30,000 farmers registered versus 23 at launch; Board training staff to upload quality certificates.</t>
  </si>
  <si>
    <t xml:space="preserve">O16-E04</t>
  </si>
  <si>
    <t xml:space="preserve">Status as recorded in v1.0.0: Grew to ~30,000 farmers; no later status</t>
  </si>
  <si>
    <t xml:space="preserve">O17-E01</t>
  </si>
  <si>
    <t xml:space="preserve">N82</t>
  </si>
  <si>
    <t xml:space="preserve">Spices Board and UNDP Accelerator Lab signed MoU for blockchain traceability interface linked to e-Spice Bazaar; chilli/turmeric pilot, 3,000+ AP farmers.</t>
  </si>
  <si>
    <t xml:space="preserve">O17-E02</t>
  </si>
  <si>
    <t xml:space="preserve">Interface design expected to be completed by May 2021; pilot planned in select Andhra Pradesh districts.</t>
  </si>
  <si>
    <t xml:space="preserve">O18-E01</t>
  </si>
  <si>
    <t xml:space="preserve">MeitY Rajya Sabha reply named UIDAI, SPMCIL, Cotton Corporation of India and Forensic Science Laboratory as developing blockchain solutions with government.</t>
  </si>
  <si>
    <t xml:space="preserve">O18-E02</t>
  </si>
  <si>
    <t xml:space="preserve">MediaNama report of MoS Jitin Prasada's reply lists these bodies among those developing blockchain solutions; no scope given.</t>
  </si>
  <si>
    <t xml:space="preserve">O19-E01</t>
  </si>
  <si>
    <t xml:space="preserve">MeitY Rajya Sabha reply: blockchain provides a tamper-proof, secure record of eStamp transactions with government financial agencies.</t>
  </si>
  <si>
    <t xml:space="preserve">O19-E02</t>
  </si>
  <si>
    <t xml:space="preserve">Reported in present tense ('uses blockchain') under National Blockchain Framework applications; agency not named.</t>
  </si>
  <si>
    <t xml:space="preserve">S01-E01</t>
  </si>
  <si>
    <t xml:space="preserve">W091</t>
  </si>
  <si>
    <t xml:space="preserve">Andhra Pradesh partnered Swedish startup ChromaWay to develop and test a blockchain land registry pilot under Fintech Valley Vizag.</t>
  </si>
  <si>
    <t xml:space="preserve">S01-E02</t>
  </si>
  <si>
    <t xml:space="preserve">W090</t>
  </si>
  <si>
    <t xml:space="preserve">CRDA launched blockchain-based land registration for Amaravati in December 2017 with Zebi; 83,000 records migrated by March 2018.</t>
  </si>
  <si>
    <t xml:space="preserve">S01-E03</t>
  </si>
  <si>
    <t xml:space="preserve">R35</t>
  </si>
  <si>
    <t xml:space="preserve">New AP government's Deputy CM says state is in talks with companies to put purified land records on blockchain; decision after Assembly session.</t>
  </si>
  <si>
    <t xml:space="preserve">S02-E01</t>
  </si>
  <si>
    <t xml:space="preserve">R13</t>
  </si>
  <si>
    <t xml:space="preserve">Forbes lists 'streamlining vehicle registrations' alongside land records as AP blockchain pilots; no further details given.</t>
  </si>
  <si>
    <t xml:space="preserve">S02-E02</t>
  </si>
  <si>
    <t xml:space="preserve">Start/announcement date recorded in v1.0.0 ("2017–18").</t>
  </si>
  <si>
    <t xml:space="preserve">S03-E01</t>
  </si>
  <si>
    <t xml:space="preserve">W094</t>
  </si>
  <si>
    <t xml:space="preserve">Citing Economic Times: AP launched blockchain pilots in civil supplies and land records departments, planning data transfer within 8–12 months.</t>
  </si>
  <si>
    <t xml:space="preserve">S03-E02</t>
  </si>
  <si>
    <t xml:space="preserve">Report says AP had launched pilot projects in the civil supplies department (as of June 2017).</t>
  </si>
  <si>
    <t xml:space="preserve">S03-E03</t>
  </si>
  <si>
    <t xml:space="preserve">2017-06-28</t>
  </si>
  <si>
    <t xml:space="preserve">R15</t>
  </si>
  <si>
    <t xml:space="preserve">Snapper co-founder: revenue department pension data could move to blockchain 'by next year'; state holds 103 million ration card records.</t>
  </si>
  <si>
    <t xml:space="preserve">S03-E04</t>
  </si>
  <si>
    <t xml:space="preserve">Status as recorded in v1.0.0: Announced; rollout not confirmed</t>
  </si>
  <si>
    <t xml:space="preserve">S04-E01</t>
  </si>
  <si>
    <t xml:space="preserve">NIC onboarding table: AP Water Resources Dept's Preliminary Notification, Draft Declaration, LA Award and R&amp;R Award available on chain since 04/12/2023.</t>
  </si>
  <si>
    <t xml:space="preserve">S04-E02</t>
  </si>
  <si>
    <t xml:space="preserve">Per dataset snapshot of NIC dashboard (as on 03-10-2026), AP Water Resources land-acquisition documents not listed.</t>
  </si>
  <si>
    <t xml:space="preserve">S05-E01</t>
  </si>
  <si>
    <t xml:space="preserve">N33</t>
  </si>
  <si>
    <t xml:space="preserve">At 7 July review, CM directed revenue records be thoroughly sanitised and secured using blockchain, and departmental data integrated via a data lake/RTGS.</t>
  </si>
  <si>
    <t xml:space="preserve">S05-E02</t>
  </si>
  <si>
    <t xml:space="preserve">Report of the directive; departments told to sync beneficiary data with RTGS; no implementation details or timeline.</t>
  </si>
  <si>
    <t xml:space="preserve">S06-E01</t>
  </si>
  <si>
    <t xml:space="preserve">W097</t>
  </si>
  <si>
    <t xml:space="preserve">NIC Informatics: Property Chain PoC developed with NIC CoE Blockchain Bengaluru and IIT Hyderabad; government decided to implement it very soon.</t>
  </si>
  <si>
    <t xml:space="preserve">S06-E02</t>
  </si>
  <si>
    <t xml:space="preserve">N31</t>
  </si>
  <si>
    <t xml:space="preserve">Mee Bhoomi–Blockchain pilot launched in seven mandals of seven districts: 89 resurvey villages, ~1,37,763 parcel maps, Hyperledger Fabric, eight services.</t>
  </si>
  <si>
    <t xml:space="preserve">S06-E03</t>
  </si>
  <si>
    <t xml:space="preserve">Per dataset snapshot of NIC dashboard: AP Survey Dept 1,49,781 documents and Revenue Dept 1,44,471 verifications on Property Chain.</t>
  </si>
  <si>
    <t xml:space="preserve">S06-E04</t>
  </si>
  <si>
    <t xml:space="preserve">In use (pilot) by this date: the NIC statistics file lists 1,49,781 documents for Andhra Pradesh – Department of Survey (earliest snapshot showing use; actual start may be earlier).</t>
  </si>
  <si>
    <t xml:space="preserve">S06-E05</t>
  </si>
  <si>
    <t xml:space="preserve">NIC statistics file (data date 2026-10-14) lists Andhra Pradesh – Department of Revenue: 0 documents; Andhra Pradesh – Department of Survey: 3,16,434 documents.</t>
  </si>
  <si>
    <t xml:space="preserve">S07-E01</t>
  </si>
  <si>
    <t xml:space="preserve">R14</t>
  </si>
  <si>
    <t xml:space="preserve">At Kalidindi meeting, CM said blockchain extends tamper-proof security to pattadar passbooks, with QR codes and currency-note-like security features embedded.</t>
  </si>
  <si>
    <t xml:space="preserve">S07-E02</t>
  </si>
  <si>
    <t xml:space="preserve">Over 32 lakh passbooks distributed; 9,365 villages yet to be resurveyed before another 69 lakh passbooks can be issued.</t>
  </si>
  <si>
    <t xml:space="preserve">S08-E01</t>
  </si>
  <si>
    <t xml:space="preserve">N01</t>
  </si>
  <si>
    <t xml:space="preserve">DoLR Secretary Nidhi Khare launched district-level blockchain cadastre and land records pilot in Darrang on 13 Feb 2024; pan-Assam rollout 'shortly'.</t>
  </si>
  <si>
    <t xml:space="preserve">S08-E02</t>
  </si>
  <si>
    <t xml:space="preserve">NIC CoE dashboard still lists 'Assam – Land Records' under its PoC table (static page checked 4 Oct 2026).</t>
  </si>
  <si>
    <t xml:space="preserve">S09-E01</t>
  </si>
  <si>
    <t xml:space="preserve">N03</t>
  </si>
  <si>
    <t xml:space="preserve">Bihar SEC conducted first mobile e-voting in municipal by-elections across 42 municipalities in 26 districts; 51,157 registered e-voters, ~70% turnout.</t>
  </si>
  <si>
    <t xml:space="preserve">S09-E02</t>
  </si>
  <si>
    <t xml:space="preserve">N83</t>
  </si>
  <si>
    <t xml:space="preserve">C-DAC post (per dataset citation): India's first mobile e-voting pilot in Bihar successfully conducted.</t>
  </si>
  <si>
    <t xml:space="preserve">S09-E03</t>
  </si>
  <si>
    <t xml:space="preserve">Start/announcement date recorded in v1.0.0 ("Jul 2025").</t>
  </si>
  <si>
    <t xml:space="preserve">S10-E01</t>
  </si>
  <si>
    <t xml:space="preserve">N04</t>
  </si>
  <si>
    <t xml:space="preserve">CHiPS Blockchain Grand Challenge event held 8 Aug 2018; prizes given 27 Aug; winners offered pilots with E&amp;IT, Health and Land Records departments.</t>
  </si>
  <si>
    <t xml:space="preserve">S10-E02</t>
  </si>
  <si>
    <t xml:space="preserve">Winners: GovBlocks (data exchange), Medichain and SmileBots (health records), Trimtab (open innovation); pilots to follow with departments.</t>
  </si>
  <si>
    <t xml:space="preserve">S11-E01</t>
  </si>
  <si>
    <t xml:space="preserve">N05</t>
  </si>
  <si>
    <t xml:space="preserve">Office of Land Records, Dantewada formally announced 700,000+ land records since the 1950s now on Avalanche, with kiosks in every sub-district.</t>
  </si>
  <si>
    <t xml:space="preserve">S11-E02</t>
  </si>
  <si>
    <t xml:space="preserve">W101</t>
  </si>
  <si>
    <t xml:space="preserve">Dantewada's blockchain land-record initiative won CM Excellence Award 2025-26; system operational, record delivery cut from 2-3 weeks to 10-15 minutes.</t>
  </si>
  <si>
    <t xml:space="preserve">S12-E01</t>
  </si>
  <si>
    <t xml:space="preserve">Live by (earliest dated evidence): NIC Informatics Apr 2024 lists Indira Gandhi Krishi Vishwavidyalaya, Raipur among Certificate Chain participants (300 lakh documents overall).</t>
  </si>
  <si>
    <t xml:space="preserve">S12-E02</t>
  </si>
  <si>
    <t xml:space="preserve">NIC blockchain dashboard (as on 03-10-2026, per batch capture B01): IGKV Raipur shows 7,277 documents and 103 verifications.</t>
  </si>
  <si>
    <t xml:space="preserve">S12-E03</t>
  </si>
  <si>
    <t xml:space="preserve">NIC statistics file (data date 2026-10-14) lists Chhattisgarh – Indira Gandhi Krishi Vishwavidyalaya, Raipur: 7,277 documents.</t>
  </si>
  <si>
    <t xml:space="preserve">S13-E01</t>
  </si>
  <si>
    <t xml:space="preserve">N06</t>
  </si>
  <si>
    <t xml:space="preserve">CM Pramod Sawant told the Assembly that using blockchain in land registration is 'under consideration'; ITG has started notary-record digitisation.</t>
  </si>
  <si>
    <t xml:space="preserve">S13-E02</t>
  </si>
  <si>
    <t xml:space="preserve">Blockchain for land registration still under consideration; govt approved notary-record digitisation, with empanelled agency ITG having begun work.</t>
  </si>
  <si>
    <t xml:space="preserve">S14-E01</t>
  </si>
  <si>
    <t xml:space="preserve">W104</t>
  </si>
  <si>
    <t xml:space="preserve">5ire and Goa Police (SP Nidhin Valsan) signed an MoU for a blockchain-based smart-policing solution to digitise offline systems.</t>
  </si>
  <si>
    <t xml:space="preserve">S14-E02</t>
  </si>
  <si>
    <t xml:space="preserve">N07</t>
  </si>
  <si>
    <t xml:space="preserve">FIRs and daily reports to be digitised on blockchain; SP said digitisation would be complete within a year, aiming for paperless Goa Police.</t>
  </si>
  <si>
    <t xml:space="preserve">S15-E01</t>
  </si>
  <si>
    <t xml:space="preserve">W105</t>
  </si>
  <si>
    <t xml:space="preserve">At the Revenue Department's Chintan Shibir in Adalaj, blockchain was presented as a way to make land records tamper-proof (IANS).</t>
  </si>
  <si>
    <t xml:space="preserve">S15-E02</t>
  </si>
  <si>
    <t xml:space="preserve">N08</t>
  </si>
  <si>
    <t xml:space="preserve">Blockchain 'being considered' to strengthen land-record security and authenticity, curb tampering and duplication; no timeline given.</t>
  </si>
  <si>
    <t xml:space="preserve">S16-E01</t>
  </si>
  <si>
    <t xml:space="preserve">W106</t>
  </si>
  <si>
    <t xml:space="preserve">Naapbooks signed a Vibrant Gujarat MoU with Govt of Gujarat (DST/GIL) for an AI and blockchain e-notarisation system; Rs 75 crore investment.</t>
  </si>
  <si>
    <t xml:space="preserve">S16-E02</t>
  </si>
  <si>
    <t xml:space="preserve">W107</t>
  </si>
  <si>
    <t xml:space="preserve">Naapbooks says DPR submitted to Union Ministry of Law; Gujarat e-Notary proposal 'nearing finalisation'; now approaching other states.</t>
  </si>
  <si>
    <t xml:space="preserve">S17-E01</t>
  </si>
  <si>
    <t xml:space="preserve">N09</t>
  </si>
  <si>
    <t xml:space="preserve">CRISP and BSEH signed a 3-year agreement for public-blockchain encrypted digital certificates with online verification for about 5 lakh students.</t>
  </si>
  <si>
    <t xml:space="preserve">S17-E02</t>
  </si>
  <si>
    <t xml:space="preserve">Agreement covers certificates for candidates passing regular and supplementary exams over three years; no rollout milestones given.</t>
  </si>
  <si>
    <t xml:space="preserve">S18-E01</t>
  </si>
  <si>
    <t xml:space="preserve">W110</t>
  </si>
  <si>
    <t xml:space="preserve">MeitY and STPI soft-launched the Apiary blockchain CoE in Gurugram at an online event; target of 100+ startups in five years.</t>
  </si>
  <si>
    <t xml:space="preserve">S18-E02</t>
  </si>
  <si>
    <t xml:space="preserve">W111</t>
  </si>
  <si>
    <t xml:space="preserve">STPI reports Apiary began operations at STPI Gurugram, with startups selected from the Idea Challenge as its first cohort; Haryana govt a partner.</t>
  </si>
  <si>
    <t xml:space="preserve">S18-E03</t>
  </si>
  <si>
    <t xml:space="preserve">W112</t>
  </si>
  <si>
    <t xml:space="preserve">MeitY Secretary S Krishnan inaugurated Apiary's new incubation facility at STPI Gurugram: 80 plug-n-play seats over 7,000 sq ft.</t>
  </si>
  <si>
    <t xml:space="preserve">S18-E04</t>
  </si>
  <si>
    <t xml:space="preserve">W114</t>
  </si>
  <si>
    <t xml:space="preserve">STPI Apiary co-organising India Blockchain Horizons 2025 (24 Feb 2025), showcasing more than 25 Apiary-incubated startups.</t>
  </si>
  <si>
    <t xml:space="preserve">S19-E01</t>
  </si>
  <si>
    <t xml:space="preserve">Hyperledger India eBook says NITI Aayog has a pilot to improve apple farming using blockchain with IoT sensors for storage/supply-chain monitoring; undated.</t>
  </si>
  <si>
    <t xml:space="preserve">S20-E01</t>
  </si>
  <si>
    <t xml:space="preserve">N11</t>
  </si>
  <si>
    <t xml:space="preserve">Blockchain seed distribution in use during Kharif 2022: 3 lakh+ farmers registered, 600 LAMPS/PACS, 160 FPOs, about 30,000 quintals distributed.</t>
  </si>
  <si>
    <t xml:space="preserve">S20-E02</t>
  </si>
  <si>
    <t xml:space="preserve">W119</t>
  </si>
  <si>
    <t xml:space="preserve">For Kharif 2026, the agriculture director said seed distribution will run through blockchain for monitoring, plus geo-tagging of fields.</t>
  </si>
  <si>
    <t xml:space="preserve">S21-E01</t>
  </si>
  <si>
    <t xml:space="preserve">NIC blockchain dashboard (as on 03-10-2026, per batch capture B01): Jharkhand Revenue Dept shows 4,474 Property Chain documents and 31 verifications.</t>
  </si>
  <si>
    <t xml:space="preserve">S21-E02</t>
  </si>
  <si>
    <t xml:space="preserve">Start/announcement date recorded in v1.0.0 ("2024").</t>
  </si>
  <si>
    <t xml:space="preserve">S21-E03</t>
  </si>
  <si>
    <t xml:space="preserve">B12</t>
  </si>
  <si>
    <t xml:space="preserve">Live by this date: the NIC statistics file lists 4,185 documents for Jharkhand – Department of Revenue (earliest snapshot showing use; actual start may be earlier).</t>
  </si>
  <si>
    <t xml:space="preserve">S21-E04</t>
  </si>
  <si>
    <t xml:space="preserve">NIC statistics file (data date 2026-10-14) lists Jharkhand – Department of Revenue: 4,474 documents.</t>
  </si>
  <si>
    <t xml:space="preserve">S22-E01</t>
  </si>
  <si>
    <t xml:space="preserve">W201</t>
  </si>
  <si>
    <t xml:space="preserve">Live by: NIC Informatics Apr 2021 says Aushada's 2019-20 drug, purchase-order and movement records (26 warehouses, 2,783 institutions) are stored on blockchain.</t>
  </si>
  <si>
    <t xml:space="preserve">S22-E02</t>
  </si>
  <si>
    <t xml:space="preserve">NIC blockchain dashboard (as on 03-10-2026, per batch capture B01): Aushada / KSMSCL logistics chain shows 34,93,771 documents.</t>
  </si>
  <si>
    <t xml:space="preserve">S22-E03</t>
  </si>
  <si>
    <t xml:space="preserve">NIC statistics file (data date 2026-10-14) lists Karnataka – State Medical Supplies Corporation Ltd: 35,38,745 documents.</t>
  </si>
  <si>
    <t xml:space="preserve">S23-E01</t>
  </si>
  <si>
    <t xml:space="preserve">B05</t>
  </si>
  <si>
    <t xml:space="preserve">NIC: birth and death certificates of Karnataka's Directorate of Economics &amp; Statistics recorded on Document Chain from April 2022.</t>
  </si>
  <si>
    <t xml:space="preserve">S23-E02</t>
  </si>
  <si>
    <t xml:space="preserve">NIC blockchain dashboard (as on 03-10-2026, per batch capture B01): 67,66,802 documents; 37 verifications.</t>
  </si>
  <si>
    <t xml:space="preserve">S23-E03</t>
  </si>
  <si>
    <t xml:space="preserve">NIC statistics file (data date 2026-10-14) lists Karnataka – Directorate of Economics &amp; Statistics: 68,20,431 documents.</t>
  </si>
  <si>
    <t xml:space="preserve">S24-E01</t>
  </si>
  <si>
    <t xml:space="preserve">NIC: Karnataka Revenue Dept caste and income certificates from Jan 2018 are recorded on Document Chain; used for professional-college admission checks.</t>
  </si>
  <si>
    <t xml:space="preserve">S24-E02</t>
  </si>
  <si>
    <t xml:space="preserve">NIC blockchain dashboard (as on 03-10-2026, per batch capture B01): 4,22,30,722 documents recorded.</t>
  </si>
  <si>
    <t xml:space="preserve">S24-E03</t>
  </si>
  <si>
    <t xml:space="preserve">NIC statistics file (data date 2026-10-14) lists Karnataka – Revenue Department: 4,24,82,055 documents.</t>
  </si>
  <si>
    <t xml:space="preserve">S25-E01</t>
  </si>
  <si>
    <t xml:space="preserve">Hyperledger India eBook: since 2020, Karnataka SSLC and PUC marks cards are stored on blockchain for verification by students, citizens and departments.</t>
  </si>
  <si>
    <t xml:space="preserve">S25-E02</t>
  </si>
  <si>
    <t xml:space="preserve">NIC blockchain dashboard (as on 03-10-2026, per batch capture B01): 1,43,97,704 documents; 1,258 verifications.</t>
  </si>
  <si>
    <t xml:space="preserve">S25-E03</t>
  </si>
  <si>
    <t xml:space="preserve">NIC statistics file (data date 2026-10-14) lists Karnataka – School Examination and Assessment Board: 1,43,97,704 documents.</t>
  </si>
  <si>
    <t xml:space="preserve">S26-E01</t>
  </si>
  <si>
    <t xml:space="preserve">NIC dashboard as on 03-10-2026 lists Karnataka Revenue Dept with ~2.11 crore documents and ~46.9 crore verifications (batch figures; tables not re-verified).</t>
  </si>
  <si>
    <t xml:space="preserve">S26-E02</t>
  </si>
  <si>
    <t xml:space="preserve">Start/announcement date recorded in v1.0.0 ("Pilot 2024, now live").</t>
  </si>
  <si>
    <t xml:space="preserve">S26-E03</t>
  </si>
  <si>
    <t xml:space="preserve">Live by this date: the NIC statistics file lists 1,96,20,723 documents for Karnataka – Revenue Department (earliest snapshot showing use; actual start may be earlier).</t>
  </si>
  <si>
    <t xml:space="preserve">S26-E04</t>
  </si>
  <si>
    <t xml:space="preserve">NIC statistics file (data date 2026-10-14) lists Karnataka – Revenue Department: 2,11,88,847 documents.</t>
  </si>
  <si>
    <t xml:space="preserve">S27-E01</t>
  </si>
  <si>
    <t xml:space="preserve">NIC dashboard as on 03-10-2026 lists Karnataka City Corporations and TMCs with 43,565 documents and 6,084 verifications (batch figures; tables not re-verified).</t>
  </si>
  <si>
    <t xml:space="preserve">S27-E02</t>
  </si>
  <si>
    <t xml:space="preserve">Live by this date: the NIC statistics file lists 34,169 documents for Karnataka – City Corporation (earliest snapshot showing use; actual start may be earlier).</t>
  </si>
  <si>
    <t xml:space="preserve">S27-E03</t>
  </si>
  <si>
    <t xml:space="preserve">NIC statistics file (data date 2026-10-14) lists Karnataka – City Corporation: 43,556 documents; Karnataka – Town Municipal Council: 9 documents.</t>
  </si>
  <si>
    <t xml:space="preserve">S28-E01</t>
  </si>
  <si>
    <t xml:space="preserve">W125</t>
  </si>
  <si>
    <t xml:space="preserve">Deccan Herald reports Karnataka will use an IIT-Kanpur-developed blockchain system for property registration, with PIN-protected property cards like ATM cards.</t>
  </si>
  <si>
    <t xml:space="preserve">S28-E02</t>
  </si>
  <si>
    <t xml:space="preserve">W128</t>
  </si>
  <si>
    <t xml:space="preserve">Dec 2021 report (citing TOI): CSG's Kaveri blockchain pilot in Tumakuru gave out 781 smartcards within a month and processed 310 transactions.</t>
  </si>
  <si>
    <t xml:space="preserve">S28-E03</t>
  </si>
  <si>
    <t xml:space="preserve">2021-12-01</t>
  </si>
  <si>
    <t xml:space="preserve">CSG plans chip smartcard wallets with Aadhaar e-KYC covering 67 land-transaction types, after the Tumakuru pilot (781 cards, 310 transactions).</t>
  </si>
  <si>
    <t xml:space="preserve">S28-E04</t>
  </si>
  <si>
    <t xml:space="preserve">Status as recorded in v1.0.0: Under development</t>
  </si>
  <si>
    <t xml:space="preserve">S29-E01</t>
  </si>
  <si>
    <t xml:space="preserve">N75</t>
  </si>
  <si>
    <t xml:space="preserve">IIT Kanpur announced CRUBN's partnership with Karnataka's CSG to build a permissioned blockchain trust layer linking 50+ e-GP systems.</t>
  </si>
  <si>
    <t xml:space="preserve">S29-E02</t>
  </si>
  <si>
    <t xml:space="preserve">2021-11-23</t>
  </si>
  <si>
    <t xml:space="preserve">W130</t>
  </si>
  <si>
    <t xml:space="preserve">MediaNama reports the e-GP blockchain is planned and will be governed by a consortium of e-GP systems; no timeline or pilot given.</t>
  </si>
  <si>
    <t xml:space="preserve">S29-E03</t>
  </si>
  <si>
    <t xml:space="preserve">Status as recorded in v1.0.0: Partnership announced; no rollout reported</t>
  </si>
  <si>
    <t xml:space="preserve">S30-E01</t>
  </si>
  <si>
    <t xml:space="preserve">W131</t>
  </si>
  <si>
    <t xml:space="preserve">IIITM-K, with the Blockchain Education Network, announced at a Technopark conference that it would launch a blockchain academy focused on banking, healthcare and governance.</t>
  </si>
  <si>
    <t xml:space="preserve">S30-E02</t>
  </si>
  <si>
    <t xml:space="preserve">R18</t>
  </si>
  <si>
    <t xml:space="preserve">KBA says the Government of Kerala founded it in 2017 as India's first blockchain academy in the government sector.</t>
  </si>
  <si>
    <t xml:space="preserve">S30-E03</t>
  </si>
  <si>
    <t xml:space="preserve">W132</t>
  </si>
  <si>
    <t xml:space="preserve">KBA's official blog was still publishing (post dated 12 Dec 2025, with later Jan–Feb posts), which shows the academy remains active.</t>
  </si>
  <si>
    <t xml:space="preserve">S31-E01</t>
  </si>
  <si>
    <t xml:space="preserve">W133</t>
  </si>
  <si>
    <t xml:space="preserve">Gates Foundation Grand Challenges India grant to IIITM-K (PI Asharaf S) for the Immunochain vaccine traceability solution, funded 30 Nov 2018.</t>
  </si>
  <si>
    <t xml:space="preserve">S31-E02</t>
  </si>
  <si>
    <t xml:space="preserve">W134</t>
  </si>
  <si>
    <t xml:space="preserve">K-DISC innovation brief lists Immunochain as a Health Department blockchain vaccine solution (mobile RCH book, dashboards for officials and ASHAs); no deployment status or scale.</t>
  </si>
  <si>
    <t xml:space="preserve">S32-E01</t>
  </si>
  <si>
    <t xml:space="preserve">N16</t>
  </si>
  <si>
    <t xml:space="preserve">Inc42 (9 Jan 2020), citing ET, reports Kerala plans five-year blockchain pilots in land records, workforce, immunisation and organic food traceability.</t>
  </si>
  <si>
    <t xml:space="preserve">S32-E02</t>
  </si>
  <si>
    <t xml:space="preserve">Plans only: pilot schemes and a blockchain talent pool over five years; no pilot results reported.</t>
  </si>
  <si>
    <t xml:space="preserve">S33-E01</t>
  </si>
  <si>
    <t xml:space="preserve">W137</t>
  </si>
  <si>
    <t xml:space="preserve">CM Pinarayi Vijayan, at Registration Department Day in Azhikode, said blockchain will be used to secure land transactions; no timeline given.</t>
  </si>
  <si>
    <t xml:space="preserve">S33-E02</t>
  </si>
  <si>
    <t xml:space="preserve">N15</t>
  </si>
  <si>
    <t xml:space="preserve">Blog repeats Registration Department plan for a tamper-proof blockchain ledger for land records; no implementation timeline.</t>
  </si>
  <si>
    <t xml:space="preserve">S34-E01</t>
  </si>
  <si>
    <t xml:space="preserve">N18</t>
  </si>
  <si>
    <t xml:space="preserve">MPSEDC published RFP (Tender ID 2025_SEDC_453633_1) to select an agency to design, deploy and maintain a Blockchain-as-a-Service platform for MP.</t>
  </si>
  <si>
    <t xml:space="preserve">S34-E02</t>
  </si>
  <si>
    <t xml:space="preserve">Bid submission closed 14 Nov 2025; listing shows award status as pending.</t>
  </si>
  <si>
    <t xml:space="preserve">S35-E01</t>
  </si>
  <si>
    <t xml:space="preserve">PIB says 14 citizen-centric applications of M.P. State Electronics Development Corporation are onboarded on Praamaanik, the blockchain app-verification solution.</t>
  </si>
  <si>
    <t xml:space="preserve">S35-E02</t>
  </si>
  <si>
    <t xml:space="preserve">Start/announcement date recorded in v1.0.0 ("2025–26").</t>
  </si>
  <si>
    <t xml:space="preserve">S36-E01</t>
  </si>
  <si>
    <t xml:space="preserve">CRISP signed a 3-year agreement with BSEH Haryana to provide public-blockchain digital certificates and online verification for about 5 lakh students.</t>
  </si>
  <si>
    <t xml:space="preserve">S36-E02</t>
  </si>
  <si>
    <t xml:space="preserve">Agreement announced (future tense: Haryana 'will give' certificates); CRISP says it also works with various universities.</t>
  </si>
  <si>
    <t xml:space="preserve">S37-E01</t>
  </si>
  <si>
    <t xml:space="preserve">N19</t>
  </si>
  <si>
    <t xml:space="preserve">IT Principal Secretary S.V.R. Srinivas said Maharashtra would build a blockchain framework and sandbox; about Rs 10 crore over 18 months.</t>
  </si>
  <si>
    <t xml:space="preserve">S37-E02</t>
  </si>
  <si>
    <t xml:space="preserve">Reported in Aug 2019 that the state had completed its first blockchain pilot covering health, supply chain, documents and SSC certificates.</t>
  </si>
  <si>
    <t xml:space="preserve">S37-E03</t>
  </si>
  <si>
    <t xml:space="preserve">N20</t>
  </si>
  <si>
    <t xml:space="preserve">Inc42 reports Maharashtra launched a blockchain sandbox for e-governance; use cases include agri marketing, vehicle registration, documents and SSC certificates.</t>
  </si>
  <si>
    <t xml:space="preserve">S38-E01</t>
  </si>
  <si>
    <t xml:space="preserve">R20</t>
  </si>
  <si>
    <t xml:space="preserve">Deccan Herald (4 Apr 2022) reports Gadchiroli will use blockchain and QR codes so third parties can verify caste certificates.</t>
  </si>
  <si>
    <t xml:space="preserve">S38-E02</t>
  </si>
  <si>
    <t xml:space="preserve">R19</t>
  </si>
  <si>
    <t xml:space="preserve">Minister Eknath Shinde inaugurated the Etapalli pilot 'on Wednesday' (13 Apr 2022); LegitDoc anchors certificates on Polygon, issued via CSCs.</t>
  </si>
  <si>
    <t xml:space="preserve">S38-E03</t>
  </si>
  <si>
    <t xml:space="preserve">N78</t>
  </si>
  <si>
    <t xml:space="preserve">Blockchain caste certification of 65,000 tribals in Etapalli featured in NITI Aayog–UNDP 'Best Practices 2023' compendium.</t>
  </si>
  <si>
    <t xml:space="preserve">S39-E01</t>
  </si>
  <si>
    <t xml:space="preserve">N79</t>
  </si>
  <si>
    <t xml:space="preserve">MSBSD to use LegitDoc's Ethereum-based system for tamper-proof diploma certificates, moving to digital-only verification from the following year.</t>
  </si>
  <si>
    <t xml:space="preserve">S39-E02</t>
  </si>
  <si>
    <t xml:space="preserve">Announcement only; MSBSD chairman Anil Jadhao cites rising forgery of government documents as the motivation.</t>
  </si>
  <si>
    <t xml:space="preserve">S40-E01</t>
  </si>
  <si>
    <t xml:space="preserve">NIC dashboard as on 03-10-2026 lists MUHS with 31,749 documents and 6,324 verifications on Certificate Chain (batch figures; tables not re-verified).</t>
  </si>
  <si>
    <t xml:space="preserve">S40-E02</t>
  </si>
  <si>
    <t xml:space="preserve">Live by this date: the NIC statistics file lists 31,749 documents for Maharashtra – Maharashtra University of Health Sciences (earliest snapshot showing use; actual start may be earlier).</t>
  </si>
  <si>
    <t xml:space="preserve">S40-E03</t>
  </si>
  <si>
    <t xml:space="preserve">NIC statistics file (data date 2026-10-14) lists Maharashtra – Maharashtra University of Health Sciences: 31,760 documents.</t>
  </si>
  <si>
    <t xml:space="preserve">S41-E01</t>
  </si>
  <si>
    <t xml:space="preserve">W140</t>
  </si>
  <si>
    <t xml:space="preserve">Board notification dated 04.07.2025 on giving digital academic certificates via a blockchain system to students of all nursing courses.</t>
  </si>
  <si>
    <t xml:space="preserve">S41-E02</t>
  </si>
  <si>
    <t xml:space="preserve">W141</t>
  </si>
  <si>
    <t xml:space="preserve">Notice attaches a student manual for fetching blockchain passing certificates, marksheets and diplomas by PRN via the Digi-Certificate portal, so service was operating by then.</t>
  </si>
  <si>
    <t xml:space="preserve">S41-E03</t>
  </si>
  <si>
    <t xml:space="preserve">NIC blockchain dashboard (as on 03-10-2026, per dataset) lists the board as live: 2,02,444 documents, 10,783 verifications.</t>
  </si>
  <si>
    <t xml:space="preserve">S41-E04</t>
  </si>
  <si>
    <t xml:space="preserve">NIC statistics file (data date 2026-10-14) lists Maharashtra – State Board of Nursing &amp; Paramedical Education: 2,02,444 documents.</t>
  </si>
  <si>
    <t xml:space="preserve">S42-E01</t>
  </si>
  <si>
    <t xml:space="preserve">W142</t>
  </si>
  <si>
    <t xml:space="preserve">NIC Certificate Chain lists Maharashtra General Administrative Department, document type 'Maharashtra eOrder', available since 15/06/2026.</t>
  </si>
  <si>
    <t xml:space="preserve">S42-E02</t>
  </si>
  <si>
    <t xml:space="preserve">NIC blockchain dashboard (as on 03-10-2026, per dataset) shows 968 documents and 72 verifications for Maharashtra GAD.</t>
  </si>
  <si>
    <t xml:space="preserve">S42-E03</t>
  </si>
  <si>
    <t xml:space="preserve">NIC statistics file (data date 2026-10-14) lists Maharashtra – General Administration Department: 1,005 documents.</t>
  </si>
  <si>
    <t xml:space="preserve">S43-E01</t>
  </si>
  <si>
    <t xml:space="preserve">W144</t>
  </si>
  <si>
    <t xml:space="preserve">NavBharat Live (29 Oct 2025): Amravati Municipal Commissioner says certificates, fire NOCs and licences will carry blockchain-backed QR codes (future tense).</t>
  </si>
  <si>
    <t xml:space="preserve">S43-E02</t>
  </si>
  <si>
    <t xml:space="preserve">W145</t>
  </si>
  <si>
    <t xml:space="preserve">Polygon announced on 31 Oct 2025 that Amravati is tokenising records; pilot testing expected soon, no official timeline.</t>
  </si>
  <si>
    <t xml:space="preserve">S44-E01</t>
  </si>
  <si>
    <t xml:space="preserve">N65</t>
  </si>
  <si>
    <t xml:space="preserve">Inc42 (25 May 2021): DMRR uses Print2Block's DocChain private blockchain, with Polygon audit, to issue negative COVID-19 test certificates.</t>
  </si>
  <si>
    <t xml:space="preserve">S44-E02</t>
  </si>
  <si>
    <t xml:space="preserve">W146</t>
  </si>
  <si>
    <t xml:space="preserve">Coin Crunch India reports Maharashtra uses a private blockchain with Polygon anchoring to issue COVID test certificates.</t>
  </si>
  <si>
    <t xml:space="preserve">S45-E01</t>
  </si>
  <si>
    <t xml:space="preserve">N67</t>
  </si>
  <si>
    <t xml:space="preserve">CM Fadnavis at Global Fintech Fest says Maharashtra will create an asset tokenisation framework to unlock ~₹50 trillion.</t>
  </si>
  <si>
    <t xml:space="preserve">S45-E02</t>
  </si>
  <si>
    <t xml:space="preserve">W149</t>
  </si>
  <si>
    <t xml:space="preserve">MITRA CEO Praveen Pardeshi says the state is still working on a tokenisation policy; floats tokenising 40–50% of Mahatransco transmission assets.</t>
  </si>
  <si>
    <t xml:space="preserve">S46-E01</t>
  </si>
  <si>
    <t xml:space="preserve">W153</t>
  </si>
  <si>
    <t xml:space="preserve">Agrowon: one-day drive on 19 Jul 2025 to plant 15 lakh saplings at 294 sites; QR codes to be fixed on trees.</t>
  </si>
  <si>
    <t xml:space="preserve">S46-E02</t>
  </si>
  <si>
    <t xml:space="preserve">Collector Kirti Kiran Pujar's record drive; QR codes and CCTV monitoring mentioned; blockchain not mentioned.</t>
  </si>
  <si>
    <t xml:space="preserve">S46-E03</t>
  </si>
  <si>
    <t xml:space="preserve">Status as recorded in v1.0.0: Completed (one-time drive)</t>
  </si>
  <si>
    <t xml:space="preserve">S47-E01</t>
  </si>
  <si>
    <t xml:space="preserve">N21</t>
  </si>
  <si>
    <t xml:space="preserve">ANI press release: Manipur Education Dept to deploy an Academic Credential Verification System on Internet Computer, with DFINITY and The Horizon.</t>
  </si>
  <si>
    <t xml:space="preserve">S47-E02</t>
  </si>
  <si>
    <t xml:space="preserve">Announcement only; no pilot, deployment date or scale given.</t>
  </si>
  <si>
    <t xml:space="preserve">S48-E01</t>
  </si>
  <si>
    <t xml:space="preserve">NIC Certificate Chain lists MANIPUR, 'Pre-University Board', Higher Secondary Examination Mark Statement, available since 08/09/2022.</t>
  </si>
  <si>
    <t xml:space="preserve">S48-E02</t>
  </si>
  <si>
    <t xml:space="preserve">NIC blockchain dashboard (as on 03-10-2026, per dataset): 79,614 documents, 59 verifications.</t>
  </si>
  <si>
    <t xml:space="preserve">S48-E03</t>
  </si>
  <si>
    <t xml:space="preserve">NIC statistics file (data date 2026-10-14) lists Manipur – Council of Higher Secondary Education: 79,614 documents.</t>
  </si>
  <si>
    <t xml:space="preserve">S49-E01</t>
  </si>
  <si>
    <t xml:space="preserve">N22</t>
  </si>
  <si>
    <t xml:space="preserve">CM Conrad Sangma, at an NeGD–IT&amp;C workshop, said Meghalaya will use blockchain for employee data and promotions, starting with Police.</t>
  </si>
  <si>
    <t xml:space="preserve">S49-E02</t>
  </si>
  <si>
    <t xml:space="preserve">Declaration of intent only; no implementation date given.</t>
  </si>
  <si>
    <t xml:space="preserve">S50-E01</t>
  </si>
  <si>
    <t xml:space="preserve">N25</t>
  </si>
  <si>
    <t xml:space="preserve">OCAC RFP OCAC-CERT-INFRA-0001-2023-23123 issued for a statewide private permissioned BaaS platform; bids due 12 Jan 2024.</t>
  </si>
  <si>
    <t xml:space="preserve">S50-E02</t>
  </si>
  <si>
    <t xml:space="preserve">Hyperledger India eBook (updated 13 Feb 2025) mentions only Odisha's BaaS RFP; no award or deployment reported.</t>
  </si>
  <si>
    <t xml:space="preserve">S51-E01</t>
  </si>
  <si>
    <t xml:space="preserve">N23</t>
  </si>
  <si>
    <t xml:space="preserve">Deputy CM Pravati Parida unveiled the WCD–UNFPA Shakti app in Bhubaneswar after a five-district pilot.</t>
  </si>
  <si>
    <t xml:space="preserve">S51-E02</t>
  </si>
  <si>
    <t xml:space="preserve">Government plans to scale the Shakti app statewide after positive pilot feedback.</t>
  </si>
  <si>
    <t xml:space="preserve">S52-E01</t>
  </si>
  <si>
    <t xml:space="preserve">N24</t>
  </si>
  <si>
    <t xml:space="preserve">Construction Dept Secretary Sanjay Kumar Singh chaired a high-level meeting on AI/blockchain handloom hubs at Cuttack, Bargarh and Jajpur.</t>
  </si>
  <si>
    <t xml:space="preserve">S52-E02</t>
  </si>
  <si>
    <t xml:space="preserve">Hubs (Abhimanpur, Gobindpur, Gopalpur) still under review; no launch timeline.</t>
  </si>
  <si>
    <t xml:space="preserve">S53-E01</t>
  </si>
  <si>
    <t xml:space="preserve">N26</t>
  </si>
  <si>
    <t xml:space="preserve">Punjab Agriculture Dept, with PAGREXCO as agency and Cropin as tech partner, to introduce blockchain seed-potato traceability from the coming season.</t>
  </si>
  <si>
    <t xml:space="preserve">S53-E02</t>
  </si>
  <si>
    <t xml:space="preserve">Plan for the coming potato season; geo-tagging, QR codes and a mobile app described; no rollout reported.</t>
  </si>
  <si>
    <t xml:space="preserve">S54-E01</t>
  </si>
  <si>
    <t xml:space="preserve">N27</t>
  </si>
  <si>
    <t xml:space="preserve">MoU among RVPN, IIT Kanpur and DoIT&amp;C to set up a Centre of Excellence in blockchain, in presence of IT Minister Rathore.</t>
  </si>
  <si>
    <t xml:space="preserve">S54-E02</t>
  </si>
  <si>
    <t xml:space="preserve">eBook says Rajasthan's blockchain CoE operates as a coordinated, interoperable ecosystem and dates it to 2022.</t>
  </si>
  <si>
    <t xml:space="preserve">S55-E01</t>
  </si>
  <si>
    <t xml:space="preserve">N28</t>
  </si>
  <si>
    <t xml:space="preserve">Auxesis vendor blog (13 Sep 2018): Rajasthan set to roll out blockchain for land records; Auxesis built the base fabric layer.</t>
  </si>
  <si>
    <t xml:space="preserve">S55-E02</t>
  </si>
  <si>
    <t xml:space="preserve">Vendor says it launched an EHR on blockchain onboarding over 53 million people; land-record rollout still forthcoming (page dated 13 Sep 2018; metadata 10 Oct 2018).</t>
  </si>
  <si>
    <t xml:space="preserve">S56-E01</t>
  </si>
  <si>
    <t xml:space="preserve">R23</t>
  </si>
  <si>
    <t xml:space="preserve">CM Palaniswami unveiled TN Blockchain Policy describing Nambikkai Inaiyam as a state blockchain platform for departments, public and start-ups.</t>
  </si>
  <si>
    <t xml:space="preserve">S56-E02</t>
  </si>
  <si>
    <t xml:space="preserve">N34</t>
  </si>
  <si>
    <t xml:space="preserve">IT Minister Palanivel Thiaga Rajan launched Nambikkai Inaiyam blockchain and e-Pettagam app on Tuesday 13 June 2023 at TNeGA.</t>
  </si>
  <si>
    <t xml:space="preserve">S56-E03</t>
  </si>
  <si>
    <t xml:space="preserve">W154</t>
  </si>
  <si>
    <t xml:space="preserve">IT&amp;DS Policy Note 2025-26: Phase I deployed; 27 e-Sevai certificate types, &gt;3.5 lakh certificates and &gt;36 lakh registered documents secured.</t>
  </si>
  <si>
    <t xml:space="preserve">S56-E04</t>
  </si>
  <si>
    <t xml:space="preserve">Status as recorded in v1.0.0: Launched by IT Minister</t>
  </si>
  <si>
    <t xml:space="preserve">S57-E01</t>
  </si>
  <si>
    <t xml:space="preserve">W160</t>
  </si>
  <si>
    <t xml:space="preserve">At the SBT event, GuardianLink's Arjun Reddy said immutable blockchain-based complaint records were planned for the Idol Wing.</t>
  </si>
  <si>
    <t xml:space="preserve">S57-E02</t>
  </si>
  <si>
    <t xml:space="preserve">N35</t>
  </si>
  <si>
    <t xml:space="preserve">Idol Wing now accepts informant tips, staff grievances and public complaints on Polygon-based portal complaints.tnidols.com (report dated 23 Dec 2022).</t>
  </si>
  <si>
    <t xml:space="preserve">S57-E03</t>
  </si>
  <si>
    <t xml:space="preserve">W159</t>
  </si>
  <si>
    <t xml:space="preserve">Feature describes complaint portal as operating: registered complaints cannot be deleted or edited, so action must be taken; DGP Jayanth Murali quoted.</t>
  </si>
  <si>
    <t xml:space="preserve">S58-E01</t>
  </si>
  <si>
    <t xml:space="preserve">Chennai, 1 Dec: 'Today' Idol Wing DGP Jayanth Murali issues soulbound tokens to outstanding team members, with GuardianLink.</t>
  </si>
  <si>
    <t xml:space="preserve">S58-E02</t>
  </si>
  <si>
    <t xml:space="preserve">SBTs and NFTs used to recognise successful cases; personnel trained to open digital wallets; Oxford University reportedly contacted department about SBTs.</t>
  </si>
  <si>
    <t xml:space="preserve">S59-E01</t>
  </si>
  <si>
    <t xml:space="preserve">W162</t>
  </si>
  <si>
    <t xml:space="preserve">ITE&amp;C department and Tech Mahindra signed MoU at International Blockchain Congress 2018 to set up India's first Blockchain District.</t>
  </si>
  <si>
    <t xml:space="preserve">S59-E02</t>
  </si>
  <si>
    <t xml:space="preserve">R26</t>
  </si>
  <si>
    <t xml:space="preserve">Telangana launched Blockchain District as a CoE/incubator with Tech Mahindra founding member and Eleven01, Nucleus Vision, C-DAC, T-Hub, IIIT-H.</t>
  </si>
  <si>
    <t xml:space="preserve">S59-E03</t>
  </si>
  <si>
    <t xml:space="preserve">W165</t>
  </si>
  <si>
    <t xml:space="preserve">IT Minister Sridhar Babu said the state will set up a 'blockchain city'; consultations with industry experts started, plans to be finalised.</t>
  </si>
  <si>
    <t xml:space="preserve">S60-E01</t>
  </si>
  <si>
    <t xml:space="preserve">W166</t>
  </si>
  <si>
    <t xml:space="preserve">Tech Mahindra/Telangana announced T-Block, the Blockchain District's first accelerator with IBC Media; registrations opened 3 Feb 2020.</t>
  </si>
  <si>
    <t xml:space="preserve">S60-E02</t>
  </si>
  <si>
    <t xml:space="preserve">W168</t>
  </si>
  <si>
    <t xml:space="preserve">First cohort: 30 startups shortlisted from 160 registrations for training, with Tezos India, R3 Corda, SettleMint platform partners and CV Labs.</t>
  </si>
  <si>
    <t xml:space="preserve">S60-E03</t>
  </si>
  <si>
    <t xml:space="preserve">W164</t>
  </si>
  <si>
    <t xml:space="preserve">First T-Block Accelerator edition supported eight startups; state launched a new India Blockchain Accelerator with CoinSwitch Kuber and Lumos Labs.</t>
  </si>
  <si>
    <t xml:space="preserve">S61-E01</t>
  </si>
  <si>
    <t xml:space="preserve">W170</t>
  </si>
  <si>
    <t xml:space="preserve">C-DAC director E Magesh said a blockchain land registration pilot was underway in parts of Hyderabad; full rollout expected in 6-12 months.</t>
  </si>
  <si>
    <t xml:space="preserve">S61-E02</t>
  </si>
  <si>
    <t xml:space="preserve">W171</t>
  </si>
  <si>
    <t xml:space="preserve">MeitY National Strategy on Blockchain: property registration solution developed and piloted at Shamshabad, Telangana.</t>
  </si>
  <si>
    <t xml:space="preserve">S62-E01</t>
  </si>
  <si>
    <t xml:space="preserve">R25</t>
  </si>
  <si>
    <t xml:space="preserve">Dry run of the e-voting solution conducted in Khammam District in October 2021.</t>
  </si>
  <si>
    <t xml:space="preserve">S62-E02</t>
  </si>
  <si>
    <t xml:space="preserve">Dry run in Khammam (Oct 2021) completed successfully; 85% of users called it user-friendly.</t>
  </si>
  <si>
    <t xml:space="preserve">S62-E03</t>
  </si>
  <si>
    <t xml:space="preserve">Only dated status: successful Oct 2021 Khammam dry run; solution uses AI three-factor authentication (Aadhaar, EPIC) with blockchain-secured encrypted votes.</t>
  </si>
  <si>
    <t xml:space="preserve">S63-E01</t>
  </si>
  <si>
    <t xml:space="preserve">R27</t>
  </si>
  <si>
    <t xml:space="preserve">Government initiating pilot projects to secure 10th class and plus-two certificates with blockchain; no timeline, department or partner given.</t>
  </si>
  <si>
    <t xml:space="preserve">S63-E02</t>
  </si>
  <si>
    <t xml:space="preserve">Only dated mention: school certificate pilots being initiated alongside land records, vehicle lifecycle and chit fund use cases.</t>
  </si>
  <si>
    <t xml:space="preserve">S64-E01</t>
  </si>
  <si>
    <t xml:space="preserve">N29</t>
  </si>
  <si>
    <t xml:space="preserve">Tripura introduced blockchain beneficiary management system with NIC Blockchain CoE (Bengaluru) APIs, securing scheme-wise beneficiary lists and transactions (report 12 Aug 2023).</t>
  </si>
  <si>
    <t xml:space="preserve">S64-E02</t>
  </si>
  <si>
    <t xml:space="preserve">Hyperledger India eBook lists Tripura at early implementation stage: NIC CoE system securing beneficiary lists, transaction requests and details.</t>
  </si>
  <si>
    <t xml:space="preserve">S65-E01</t>
  </si>
  <si>
    <t xml:space="preserve">N39</t>
  </si>
  <si>
    <t xml:space="preserve">Chief Secretary Anup Chandra Pandey directed building blockchain infrastructure for land/revenue records within six months; draft notification within a week.</t>
  </si>
  <si>
    <t xml:space="preserve">S65-E02</t>
  </si>
  <si>
    <t xml:space="preserve">Secondary eBook states UP land and revenue records were successfully implemented on blockchain after the 2018 draft; no date or evidence given.</t>
  </si>
  <si>
    <t xml:space="preserve">S66-E01</t>
  </si>
  <si>
    <t xml:space="preserve">N80</t>
  </si>
  <si>
    <t xml:space="preserve">Polygon co-founder Sandeep Nailwal announced on Twitter the Firozabad police pilot portal policecomplaintonblockchain.in built with AirChains and the police smart cell.</t>
  </si>
  <si>
    <t xml:space="preserve">S66-E02</t>
  </si>
  <si>
    <t xml:space="preserve">W172</t>
  </si>
  <si>
    <t xml:space="preserve">Firozabad police launched pilot Polygon-based complaint portal covering 21 police stations and about 2.4 million residents; free to use.</t>
  </si>
  <si>
    <t xml:space="preserve">S66-E03</t>
  </si>
  <si>
    <t xml:space="preserve">R28</t>
  </si>
  <si>
    <t xml:space="preserve">ORF cites Firozabad's Polygon-based grievance portal as a launched example; gives no new operational status or usage data.</t>
  </si>
  <si>
    <t xml:space="preserve">S67-E01</t>
  </si>
  <si>
    <t xml:space="preserve">N37</t>
  </si>
  <si>
    <t xml:space="preserve">UPERC notified Rooftop Solar PV Gross/Net Metering Regulations 2019 in January 2019 to promote P2P transactions using blockchain.</t>
  </si>
  <si>
    <t xml:space="preserve">S67-E02</t>
  </si>
  <si>
    <t xml:space="preserve">UPPCL and UPNEDA have launched the P2P pilot in select Lucknow government buildings with rooftop solar (report dated 26 Nov 2019).</t>
  </si>
  <si>
    <t xml:space="preserve">S67-E03</t>
  </si>
  <si>
    <t xml:space="preserve">eBook lists Lucknow rooftop P2P trading (started 2019) with UPPCL, MVVNL, UPNEDA, ISGF, Power Ledger; no outcome reported.</t>
  </si>
  <si>
    <t xml:space="preserve">S68-E01</t>
  </si>
  <si>
    <t xml:space="preserve">N38</t>
  </si>
  <si>
    <t xml:space="preserve">UPERC authorised PVVNL to run a pilot of interstate P2P renewable trading under India Energy Stack and approved use of blockchain.</t>
  </si>
  <si>
    <t xml:space="preserve">S68-E02</t>
  </si>
  <si>
    <t xml:space="preserve">Regulator approval of PVVNL blockchain-based interstate P2P pilot reported; no start of trading reported.</t>
  </si>
  <si>
    <t xml:space="preserve">S68-E03</t>
  </si>
  <si>
    <t xml:space="preserve">W206</t>
  </si>
  <si>
    <t xml:space="preserve">First pilot trades in Feb 2026, regular trading from Mar 2026 (1,164 trades Feb–Jul 2026).</t>
  </si>
  <si>
    <t xml:space="preserve">S68-E04</t>
  </si>
  <si>
    <t xml:space="preserve">UPERC extended the interstate P2P renewable trading pilot to 31 Mar 2027 after trading under the pilot.</t>
  </si>
  <si>
    <t xml:space="preserve">S69-E01</t>
  </si>
  <si>
    <t xml:space="preserve">N30</t>
  </si>
  <si>
    <t xml:space="preserve">SettleMint announced Polygon Edge asset-tracking with Uttarakhand; 'for the pilot' it will be deployed in one medical college (GMC Haldwani), six more planned.</t>
  </si>
  <si>
    <t xml:space="preserve">S69-E02</t>
  </si>
  <si>
    <t xml:space="preserve">CoinGeek says Uttarakhand implemented blockchain medical asset tracking, but only links to the 2022 SettleMint announcement; no new evidence.</t>
  </si>
  <si>
    <t xml:space="preserve">S70-E01</t>
  </si>
  <si>
    <t xml:space="preserve">NIC CoE dashboard (as on 03-10-2026, per batch citation) lists Uttarakhand IT/Good Governance dept with 3,465 documents and 1 verification.</t>
  </si>
  <si>
    <t xml:space="preserve">S70-E02</t>
  </si>
  <si>
    <t xml:space="preserve">Live by this date: the NIC statistics file lists 3,465 documents for Uttarakhand – Department of IT, Good Governance &amp; Science and Technology (earliest snapshot showing use; actual start may be earlier).</t>
  </si>
  <si>
    <t xml:space="preserve">S70-E03</t>
  </si>
  <si>
    <t xml:space="preserve">NIC statistics file (data date 2026-10-14) lists Uttarakhand – Department of IT, Good Governance &amp; Science and Technology: 3,465 documents.</t>
  </si>
  <si>
    <t xml:space="preserve">S71-E01</t>
  </si>
  <si>
    <t xml:space="preserve">W174</t>
  </si>
  <si>
    <t xml:space="preserve">NKDA said it intends to use NFTs to maintain land records and will invite applications to build NFT-based Municipal Property Registration Certificates.</t>
  </si>
  <si>
    <t xml:space="preserve">S71-E02</t>
  </si>
  <si>
    <t xml:space="preserve">W177</t>
  </si>
  <si>
    <t xml:space="preserve">Airchains still 'plans to introduce' 500,000 NFTs for 27,000 acres with NKDA; no minted count or go-live reported.</t>
  </si>
  <si>
    <t xml:space="preserve">S72-E01</t>
  </si>
  <si>
    <t xml:space="preserve">R29</t>
  </si>
  <si>
    <t xml:space="preserve">Bankura and Durgapur Municipal Corporations to issue birth certificates on Lynked.World blockchain; CEO said issuance could start September 2018.</t>
  </si>
  <si>
    <t xml:space="preserve">S72-E02</t>
  </si>
  <si>
    <t xml:space="preserve">eBook (updated Feb 2025) says Durgapur and Bankura municipal corporations 'have developed' a blockchain platform for birth certificates; no usage data or dates.</t>
  </si>
  <si>
    <t xml:space="preserve">S73-E01</t>
  </si>
  <si>
    <t xml:space="preserve">W184</t>
  </si>
  <si>
    <t xml:space="preserve">Delhi government announced blockchain in the FSL across four chain-of-custody stages (receipt, assignment, report finalisation, dispatch); article first published 30 Jan 2023.</t>
  </si>
  <si>
    <t xml:space="preserve">S73-E02</t>
  </si>
  <si>
    <t xml:space="preserve">N42</t>
  </si>
  <si>
    <t xml:space="preserve">Lt Governor VK Saxena inaugurated blockchain integration in DFSL's e-forensic app on Thursday 17 August 2023, per Raj Niwas officials.</t>
  </si>
  <si>
    <t xml:space="preserve">S73-E03</t>
  </si>
  <si>
    <t xml:space="preserve">W188</t>
  </si>
  <si>
    <t xml:space="preserve">NIC Informatics (Oct 2023 issue): LG introduced blockchain in ICJS at DFSL with NIC; each custody change adds a block. No usage figures.</t>
  </si>
  <si>
    <t xml:space="preserve">S74-E01</t>
  </si>
  <si>
    <t xml:space="preserve">Delhi officials said blockchain 'will soon be introduced' for revenue department caste, domicile and character certificates (article first published 30 Jan 2023).</t>
  </si>
  <si>
    <t xml:space="preserve">S74-E02</t>
  </si>
  <si>
    <t xml:space="preserve">Per dataset's B01 capture: Delhi Revenue Department 8,16,543 documents, 1,53,834 verifications (747 this month). Tables are dynamic; not re-verified.</t>
  </si>
  <si>
    <t xml:space="preserve">S74-E03</t>
  </si>
  <si>
    <t xml:space="preserve">Live by this date: the NIC statistics file lists 1,21,810 documents for Delhi – Revenue Department (earliest snapshot showing use; actual start may be earlier).</t>
  </si>
  <si>
    <t xml:space="preserve">S74-E04</t>
  </si>
  <si>
    <t xml:space="preserve">NIC statistics file (data date 2026-10-14) lists Delhi – Revenue Department: 8,16,773 documents.</t>
  </si>
  <si>
    <t xml:space="preserve">S75-E01</t>
  </si>
  <si>
    <t xml:space="preserve">Status as recorded in v1.0.0: Active (MeitY NBF success story)</t>
  </si>
  <si>
    <t xml:space="preserve">S76-E01</t>
  </si>
  <si>
    <t xml:space="preserve">N45</t>
  </si>
  <si>
    <t xml:space="preserve">Per dataset: opinion piece claims J&amp;K runs an operational blockchain land registry. Not re-read; fetch blocked and article not surfaced by search.</t>
  </si>
  <si>
    <t xml:space="preserve">S77-E01</t>
  </si>
  <si>
    <t xml:space="preserve">NIC onboarding table lists Puducherry (UT) Revenue Department, Marriage Certificate, 'Available Since' 18/08/2023.</t>
  </si>
  <si>
    <t xml:space="preserve">S77-E02</t>
  </si>
  <si>
    <t xml:space="preserve">Per dataset's B01 capture: Puducherry marriage certificates show 15 verifications as on 03-10-2026; tables dynamic, not re-verified.</t>
  </si>
  <si>
    <t xml:space="preserve">S78-E01</t>
  </si>
  <si>
    <t xml:space="preserve">NIC onboarding table lists Puducherry (UT) Department of Civil Supplies and Consumer Affairs, Ration Card, 'Available Since' 04/08/2023.</t>
  </si>
  <si>
    <t xml:space="preserve">S78-E02</t>
  </si>
  <si>
    <t xml:space="preserve">Per dataset's B01 capture: 3,87,616 ration-card documents and 828 verifications as on 03-10-2026; tables dynamic, not re-verified.</t>
  </si>
  <si>
    <t xml:space="preserve">S78-E03</t>
  </si>
  <si>
    <t xml:space="preserve">NIC statistics file (data date 2026-10-14) lists Puducherry – Department of Civil Supplies &amp; Consumer Affairs: 3,87,616 documents.</t>
  </si>
  <si>
    <t xml:space="preserve">S79-E01</t>
  </si>
  <si>
    <t xml:space="preserve">W183</t>
  </si>
  <si>
    <t xml:space="preserve">WEBEL newsletter reports the first blockchain-based birth certificate was issued on 18 Dec 2018 (the newsletter does not name the issuer).</t>
  </si>
  <si>
    <t xml:space="preserve">S79-E02</t>
  </si>
  <si>
    <t xml:space="preserve">W181</t>
  </si>
  <si>
    <t xml:space="preserve">LatestLY names NKDA as issuer of the first blockchained birth certificate; no platform named.</t>
  </si>
  <si>
    <t xml:space="preserve">challenge_id</t>
  </si>
  <si>
    <t xml:space="preserve">challenge_code</t>
  </si>
  <si>
    <t xml:space="preserve">C01-C01</t>
  </si>
  <si>
    <t xml:space="preserve">O2</t>
  </si>
  <si>
    <t xml:space="preserve">MeitY cites the need for skilled manpower to build blockchain applications as a challenge the NBF/Vishvasya stack is meant to address.</t>
  </si>
  <si>
    <t xml:space="preserve">Launch release says NBF addresses the need for skilled manpower for building blockchain-based applications.</t>
  </si>
  <si>
    <t xml:space="preserve">C01-C02</t>
  </si>
  <si>
    <t xml:space="preserve">O3</t>
  </si>
  <si>
    <t xml:space="preserve">Vendor lock-in named by MeitY as a challenge motivating a shared, indigenous, extensible government blockchain stack.</t>
  </si>
  <si>
    <t xml:space="preserve">Launch release lists vendor lock-in among the challenges the framework is designed to tackle.</t>
  </si>
  <si>
    <t xml:space="preserve">C05-C01</t>
  </si>
  <si>
    <t xml:space="preserve">NIC says a lack of trained and experienced blockchain developers was a barrier that led to setting up the CoE.</t>
  </si>
  <si>
    <t xml:space="preserve">W010</t>
  </si>
  <si>
    <t xml:space="preserve">NIC blog names lack of trained and experienced developers among barriers prompting the CoE.</t>
  </si>
  <si>
    <t xml:space="preserve">C05-C02</t>
  </si>
  <si>
    <t xml:space="preserve">O1</t>
  </si>
  <si>
    <t xml:space="preserve">Lack of investment in blockchain infrastructure and its maintenance cited by NIC as an adoption barrier the CoE was meant to overcome.</t>
  </si>
  <si>
    <t xml:space="preserve">Blog cites lack of investments in infrastructure and its maintenance as a barrier.</t>
  </si>
  <si>
    <t xml:space="preserve">C05-C03</t>
  </si>
  <si>
    <t xml:space="preserve">T2</t>
  </si>
  <si>
    <t xml:space="preserve">CoE's multi-node Hyperledger Sawtooth production setup for Drug Logistics chain had node-sync delays, forks and full transaction queues that brought network down.</t>
  </si>
  <si>
    <t xml:space="preserve">Node synchronisation delayed, chain forked, transaction queue filled and network went down; team tried new consensus/Sawtooth releases.</t>
  </si>
  <si>
    <t xml:space="preserve">C18-C01</t>
  </si>
  <si>
    <t xml:space="preserve">PoC had to link GNFC's SAP-based invoicing with the Department of Fertilizers' iFMS; scale-up would need integrating multiple systems of record across the supply chain.</t>
  </si>
  <si>
    <t xml:space="preserve">GNFC invoices sit on SAP servers and are replicated to DoF's iFMS; paper stresses that legacy-system integration must lead design choices.</t>
  </si>
  <si>
    <t xml:space="preserve">C19-C01</t>
  </si>
  <si>
    <t xml:space="preserve">Existing ERP and supply-chain management systems of participants had to be integrated with the blockchain platform to give a unified view of drug movement.</t>
  </si>
  <si>
    <t xml:space="preserve">In the drug track-and-trace implementation, existing ERP/SCM needed integration with the blockchain platform.</t>
  </si>
  <si>
    <t xml:space="preserve">C19-C02</t>
  </si>
  <si>
    <t xml:space="preserve">Blockchain platform could not handle low-latency IoT sensor inputs (e.g., temperature), so a middleware layer filtered events before writing to the ledger.</t>
  </si>
  <si>
    <t xml:space="preserve">A software middle layer passed only significant IoT events to the blockchain, given some platforms' inability to handle low-latency inputs.</t>
  </si>
  <si>
    <t xml:space="preserve">C19-C03</t>
  </si>
  <si>
    <t xml:space="preserve">Supply-chain participants had to adopt a new barcode-scanning step at each transfer, using special three-tier GS1 codes on packaging.</t>
  </si>
  <si>
    <t xml:space="preserve">Stakeholders had to scan barcodes at each stage of transfer, an action not previously required; packaging needed three-tiered QR/barcodes.</t>
  </si>
  <si>
    <t xml:space="preserve">C20-C01</t>
  </si>
  <si>
    <t xml:space="preserve">Officials flagged the need to protect privacy on IndiaChain, e.g., hiding government tender bids and property sale prices on a shared ledger.</t>
  </si>
  <si>
    <t xml:space="preserve">Challenges in safeguarding privacy of individuals and companies; IndiaChain must address identity, privacy and policy.</t>
  </si>
  <si>
    <t xml:space="preserve">C20-C02</t>
  </si>
  <si>
    <t xml:space="preserve">Regulatory and legal framework for IndiaChain was still being drafted when it was announced in Nov 2017.</t>
  </si>
  <si>
    <t xml:space="preserve">Government was still firming up regulations; legal framework pending at time of report.</t>
  </si>
  <si>
    <t xml:space="preserve">S01-C01</t>
  </si>
  <si>
    <t xml:space="preserve">CRDA commissioner said land data must be 'purified' before going on blockchain; wrong data entered becomes permanently encoded.</t>
  </si>
  <si>
    <t xml:space="preserve">Commissioner: whatever data goes on blockchain needs to be purified; garbage in, garbage out.</t>
  </si>
  <si>
    <t xml:space="preserve">S01-C02</t>
  </si>
  <si>
    <t xml:space="preserve">Farmers doubted the private-chain records were safe from officials; citizens could view but not independently verify unauthorised changes, and pre-entry verification remained manipulable.</t>
  </si>
  <si>
    <t xml:space="preserve">Farmers feared officials could change records for bribes; private blockchain gives no independent way to check tampering.</t>
  </si>
  <si>
    <t xml:space="preserve">S05-C01</t>
  </si>
  <si>
    <t xml:space="preserve">Directive makes sanitising (cleaning) revenue records a precondition for securing them on blockchain, implying existing record quality problems.</t>
  </si>
  <si>
    <t xml:space="preserve">CM told officials to ensure revenue records are thoroughly sanitised and secured entirely using blockchain.</t>
  </si>
  <si>
    <t xml:space="preserve">S06-C01</t>
  </si>
  <si>
    <t xml:space="preserve">Revenue, Survey and Registration departments keep land data separately (Webland), causing persistent discrepancies the blockchain platform must reconcile into one record.</t>
  </si>
  <si>
    <t xml:space="preserve">W095</t>
  </si>
  <si>
    <t xml:space="preserve">Despite Webland digitisation, discrepancies persisted because Revenue, Survey and Registration departments maintain data separately.</t>
  </si>
  <si>
    <t xml:space="preserve">S06-C02</t>
  </si>
  <si>
    <t xml:space="preserve">Expansion is limited to villages where resurvey and record cleansing are complete; statewide rollout depends on finishing them.</t>
  </si>
  <si>
    <t xml:space="preserve">W096</t>
  </si>
  <si>
    <t xml:space="preserve">Villages with completed resurveys to be brought on progressively; statewide rollout targeted from November; grievance cell to find operational shortcomings.</t>
  </si>
  <si>
    <t xml:space="preserve">S07-C01</t>
  </si>
  <si>
    <t xml:space="preserve">Issuing remaining 69 lakh passbooks awaits resurvey of 9,365 villages; CM says revenue records were damaged in 2019–24, requiring digitisation back to 1986.</t>
  </si>
  <si>
    <t xml:space="preserve">9,365 villages yet to be resurveyed for 69 lakh more passbooks; previous government allegedly damaged revenue records; digitising records from 1986.</t>
  </si>
  <si>
    <t xml:space="preserve">S15-C01</t>
  </si>
  <si>
    <t xml:space="preserve">Officials at the Revenue Dept's Chintan Shibir on adopting AI, blockchain and GIS for land governance flagged data security, privacy safeguards and auditability needs.</t>
  </si>
  <si>
    <t xml:space="preserve">Deliberations stressed data security, privacy safeguards, avoiding algorithmic bias, auditability and human oversight for digital systems.</t>
  </si>
  <si>
    <t xml:space="preserve">S44-C01</t>
  </si>
  <si>
    <t xml:space="preserve">Health data sensitivity meant Print2Block had to rework its product into a private blockchain, with only hashes anchored publicly on Polygon.</t>
  </si>
  <si>
    <t xml:space="preserve">Says healthcare data is very sensitive, so the team tweaked the product and rebuilt a private blockchain.</t>
  </si>
  <si>
    <t xml:space="preserve">S44-C02</t>
  </si>
  <si>
    <t xml:space="preserve">At high volume (14M+ Universal Passes), the service suffered occasional delays and hang-ups.</t>
  </si>
  <si>
    <t xml:space="preserve">W147</t>
  </si>
  <si>
    <t xml:space="preserve">Service issued over 14M passes, 'but not without the occasional delay and hang-ups'.</t>
  </si>
  <si>
    <t xml:space="preserve">S45-C01</t>
  </si>
  <si>
    <t xml:space="preserve">Land tokens need legal backing. The state is drafting a DELTA Act, which must fit with the Registration Act, the Transfer of Property Act, stamp duty rules and RERA.</t>
  </si>
  <si>
    <t xml:space="preserve">W152</t>
  </si>
  <si>
    <t xml:space="preserve">Tokenisation works only if the token maps to a legally recognised interest; framework must align overlapping property statutes.</t>
  </si>
  <si>
    <t xml:space="preserve">S45-C02</t>
  </si>
  <si>
    <t xml:space="preserve">O4</t>
  </si>
  <si>
    <t xml:space="preserve">The CM acknowledged that putting the tokenisation law into practice needs coordination between the Union government, market institutions (SEBI, BSE, NSE) and the state.</t>
  </si>
  <si>
    <t xml:space="preserve">Operationalising the Act would require coordination among Government of India, market institutions and the Maharashtra government.</t>
  </si>
  <si>
    <t xml:space="preserve">S71-C01</t>
  </si>
  <si>
    <t xml:space="preserve">NFT-based land certificates could face legal uncertainty because Finance Bill 2022 broadly defined virtual digital assets; 30% NFT tax could deter land tokenisation.</t>
  </si>
  <si>
    <t xml:space="preserve">EarthID's Sharat Chandra warned the West Bengal initiative might get caught in legal cross-hairs; 30% NFT tax could hinder land tokenisation.</t>
  </si>
  <si>
    <t xml:space="preserve">O01-C01</t>
  </si>
  <si>
    <t xml:space="preserve">Retail e₹ uptake slow: onboarded users and merchants largely inactive, low public awareness of difference from UPI, daily transactions far below RBI's 1-million target.</t>
  </si>
  <si>
    <t xml:space="preserve">W028</t>
  </si>
  <si>
    <t xml:space="preserve">Retail CBDC pilot moving slowly; awareness lacking; about 10,000-12,000 daily transactions against a 1-million year-end target (Oct 2023).</t>
  </si>
  <si>
    <t xml:space="preserve">O01-C02</t>
  </si>
  <si>
    <t xml:space="preserve">Usage still low in 2026; report calls for more awareness, usability work and fintech app partnerships.</t>
  </si>
  <si>
    <t xml:space="preserve">W029</t>
  </si>
  <si>
    <t xml:space="preserve">IANS (29 May 2026) cites a report saying e-rupee usage is low and needs more awareness, usability and fintech partnerships.</t>
  </si>
  <si>
    <t xml:space="preserve">O02-C01</t>
  </si>
  <si>
    <t xml:space="preserve">Banks' concern about lock-in to a single DLT vendor or platform drove the interoperable multi-platform PoC design (Hyperledger, Corda, Billon).</t>
  </si>
  <si>
    <t xml:space="preserve">Report names vendor lock-in and lack of live at-scale use cases as the main industry concerns motivating the PoC.</t>
  </si>
  <si>
    <t xml:space="preserve">O02-C02</t>
  </si>
  <si>
    <t xml:space="preserve">Cross-platform data transfer between DLT fabrics was seen as risky by most participating banks.</t>
  </si>
  <si>
    <t xml:space="preserve">Data-transfer risk rated high by 18% and medium by 55% of respondents.</t>
  </si>
  <si>
    <t xml:space="preserve">O06-C01</t>
  </si>
  <si>
    <t xml:space="preserve">At go-live many senders, including major banks, had not registered SMS templates on DLT, blocking OTPs and forcing a seven-day suspension of scrubbing.</t>
  </si>
  <si>
    <t xml:space="preserve">Some A2P traffic failed after 8 Mar 2021; all major banks and big telemarketers had not met requirements; scrubbing temporarily suspended.</t>
  </si>
  <si>
    <t xml:space="preserve">O06-C02</t>
  </si>
  <si>
    <t xml:space="preserve">Onboarding about 1.13 lakh principal entities' message chains needed two deadline extensions before traceability could be enforced.</t>
  </si>
  <si>
    <t xml:space="preserve">1 Nov 2024 traceability deadline extended to 30 Nov, then 10 Dec; undeclared-path messages initially flagged, not blocked.</t>
  </si>
  <si>
    <t xml:space="preserve">O07-C01</t>
  </si>
  <si>
    <t xml:space="preserve">Commentators urged caution: network and device-based blockchain remote voting inherits internet-system vulnerabilities and needs rigorous public appraisal before deployment.</t>
  </si>
  <si>
    <t xml:space="preserve">W052</t>
  </si>
  <si>
    <t xml:space="preserve">Editorial summary: system may carry vulnerabilities of any internet-based system; blockchain adds design complexity; ECI should exercise caution.</t>
  </si>
  <si>
    <t xml:space="preserve">O07-C02</t>
  </si>
  <si>
    <t xml:space="preserve">Election Commissioner flagged voter trust: a distributed-consensus voting system must be transparent and understandable to voters.</t>
  </si>
  <si>
    <t xml:space="preserve">W050</t>
  </si>
  <si>
    <t xml:space="preserve">Sushil Chandra raised transparency and voter-security concerns; any blockchain solution must be as clear and transparent as possible for voters.</t>
  </si>
  <si>
    <t xml:space="preserve">O09-C01</t>
  </si>
  <si>
    <t xml:space="preserve">Registration does not confer guaranteed title; blockchain-based conclusive titling needs new laws and amendments to TPA, Registration, Stamp, Evidence, IT and data protection Acts.</t>
  </si>
  <si>
    <t xml:space="preserve">W062</t>
  </si>
  <si>
    <t xml:space="preserve">SC asked Law Commission to examine Transfer of Property, Registration, Stamp, Evidence, IT and Data Protection Acts for reform.</t>
  </si>
  <si>
    <t xml:space="preserve">O09-C02</t>
  </si>
  <si>
    <t xml:space="preserve">Court warned that inaccurate, incomplete or disputed legacy land records would be carried into a digital version; petitioners said Bihar surveys were incomplete.</t>
  </si>
  <si>
    <t xml:space="preserve">Court warned that if the original record is inaccurate, incomplete or disputed, the digital version will simply perpetuate the flaw.</t>
  </si>
  <si>
    <t xml:space="preserve">O09-C03</t>
  </si>
  <si>
    <t xml:space="preserve">Property registration procedures are fragmented across States; reform needs a Union-led inter-governmental initiative with States and Law Commission consultation.</t>
  </si>
  <si>
    <t xml:space="preserve">Court flagged fragmented state procedures and urged Union to lead an inter-governmental initiative with participation of States.</t>
  </si>
  <si>
    <t xml:space="preserve">O11-C01</t>
  </si>
  <si>
    <t xml:space="preserve">Researcher alleged earlier Digi Yatra app versions sent passenger data to developer Dataevolve's AWS servers and could access wide device data.</t>
  </si>
  <si>
    <t xml:space="preserve">W075</t>
  </si>
  <si>
    <t xml:space="preserve">Investigation found past app versions sent passenger data to Dataevolve's AWS servers; app alleged to access 'all the data' on device.</t>
  </si>
  <si>
    <t xml:space="preserve">O11-C02</t>
  </si>
  <si>
    <t xml:space="preserve">Alleged retention of references to the original developer (Dataevolve) after it was replaced, reported in a 2024 investigation; a Delhi HC dispute over platform IP followed.</t>
  </si>
  <si>
    <t xml:space="preserve">W076</t>
  </si>
  <si>
    <t xml:space="preserve">Delhi High Court examining ownership claims between Digi Yatra Foundation and Data Evolve Solutions over platform intellectual property.</t>
  </si>
  <si>
    <t xml:space="preserve">O11-C03</t>
  </si>
  <si>
    <t xml:space="preserve">System is run by the private Digi Yatra Foundation, which the Ministry says is outside RTI, raising accountability and ownership questions.</t>
  </si>
  <si>
    <t xml:space="preserve">Ministry said Digi Yatra is not under RTI because the foundation is a private entity; questions on why it operates the system.</t>
  </si>
  <si>
    <t xml:space="preserve">O11-C04</t>
  </si>
  <si>
    <t xml:space="preserve">International extension excludes immigration steps, which need separate regulatory approvals and multi-stakeholder coordination; Kerala HC notice on alleged data misuse under DPDP rules.</t>
  </si>
  <si>
    <t xml:space="preserve">Pilots do not include immigration, needing separate regulatory approvals; Kerala HC issued notice on alleged unauthorised passenger-data sharing.</t>
  </si>
  <si>
    <t xml:space="preserve">O16-C01</t>
  </si>
  <si>
    <t xml:space="preserve">Marketplace had a tepid start with only 23 farmers registered at launch before uptake grew.</t>
  </si>
  <si>
    <t xml:space="preserve">After a tepid launch earlier in 2019, platform has about 30,000 farmers versus just 23 at launch.</t>
  </si>
  <si>
    <t xml:space="preserve">author</t>
  </si>
  <si>
    <t xml:space="preserve">title</t>
  </si>
  <si>
    <t xml:space="preserve">publisher</t>
  </si>
  <si>
    <t xml:space="preserve">url</t>
  </si>
  <si>
    <t xml:space="preserve">note</t>
  </si>
  <si>
    <t xml:space="preserve">source_type</t>
  </si>
  <si>
    <t xml:space="preserve">accessed</t>
  </si>
  <si>
    <t xml:space="preserve">added_in</t>
  </si>
  <si>
    <t xml:space="preserve">Press Information Bureau (MeitY)</t>
  </si>
  <si>
    <t xml:space="preserve">National Blockchain Framework: Strengthening governance through blockchain technology [Backgrounder, Release ID 2182023]</t>
  </si>
  <si>
    <t xml:space="preserve">Government of India</t>
  </si>
  <si>
    <t xml:space="preserve">Official</t>
  </si>
  <si>
    <t xml:space="preserve">2026-10-04</t>
  </si>
  <si>
    <t xml:space="preserve">1.0.0</t>
  </si>
  <si>
    <t xml:space="preserve">Pandey, K.</t>
  </si>
  <si>
    <t xml:space="preserve">Blockchain tech in use for verifying property transactions in Karnataka and Jharkhand: IT Ministry</t>
  </si>
  <si>
    <t xml:space="preserve">MediaNama</t>
  </si>
  <si>
    <t xml:space="preserve">News</t>
  </si>
  <si>
    <t xml:space="preserve">Blockchain: The India Strategy – Part I (Draft discussion paper)</t>
  </si>
  <si>
    <t xml:space="preserve">Invest India</t>
  </si>
  <si>
    <t xml:space="preserve">Implementing blockchain in India</t>
  </si>
  <si>
    <t xml:space="preserve">The Crypto Times</t>
  </si>
  <si>
    <t xml:space="preserve">2026-04-15</t>
  </si>
  <si>
    <t xml:space="preserve">RBI urges Indians to join CBDC pilot, calls e₹ 'future of money'</t>
  </si>
  <si>
    <t xml:space="preserve">https://www.cryptotimes.io/2026/04/15/rbi-urges-indians-to-join-cbdc-pilot-calls-e-rupee-future-of-money/</t>
  </si>
  <si>
    <t xml:space="preserve">Digital Rupee (e₹) – Frequently Asked Questions</t>
  </si>
  <si>
    <t xml:space="preserve">RBI</t>
  </si>
  <si>
    <t xml:space="preserve">R07</t>
  </si>
  <si>
    <t xml:space="preserve">The United Indian</t>
  </si>
  <si>
    <t xml:space="preserve">Digital Rupee in 2026: What RBI's e-Rupee is and how to actually use it</t>
  </si>
  <si>
    <t xml:space="preserve">https://www.theunitedindian.com/news/digital-rupee-e-rupee-2026-rbi-explainer</t>
  </si>
  <si>
    <t xml:space="preserve">Business Standard</t>
  </si>
  <si>
    <t xml:space="preserve">2022-04-18</t>
  </si>
  <si>
    <t xml:space="preserve">Use of blockchain for security and covenant monitoring becomes operational</t>
  </si>
  <si>
    <t xml:space="preserve">https://www.business-standard.com/amp/article/markets/use-of-blockchain-for-security-and-covenant-monitoring-becomes-operational-122041801023_1.html</t>
  </si>
  <si>
    <t xml:space="preserve">R09</t>
  </si>
  <si>
    <t xml:space="preserve">Press Trust of India</t>
  </si>
  <si>
    <t xml:space="preserve">2022-03-29</t>
  </si>
  <si>
    <t xml:space="preserve">Sebi issues operational guidelines for covenant monitoring with DLT</t>
  </si>
  <si>
    <t xml:space="preserve">https://www.business-standard.com/amp/article/markets/sebi-issues-operational-guidelines-for-covenant-monitoring-with-dlt-122032901511_1.html</t>
  </si>
  <si>
    <t xml:space="preserve">Ledger Insights</t>
  </si>
  <si>
    <t xml:space="preserve">2019-03</t>
  </si>
  <si>
    <t xml:space="preserve">India's Coffee Board unveils blockchain based marketplace</t>
  </si>
  <si>
    <t xml:space="preserve">Comunicaffe</t>
  </si>
  <si>
    <t xml:space="preserve">2019-11-21</t>
  </si>
  <si>
    <t xml:space="preserve">Coffee Board of India registers 30,000 farmers on blockchain marketplace</t>
  </si>
  <si>
    <t xml:space="preserve">Comunicaffe International</t>
  </si>
  <si>
    <t xml:space="preserve">https://www.comunicaffe.com/coffee-board-of-india-registers-30000-farmers-on-blockchain-marketplace/</t>
  </si>
  <si>
    <t xml:space="preserve">R12</t>
  </si>
  <si>
    <t xml:space="preserve">GS1 India</t>
  </si>
  <si>
    <t xml:space="preserve">UNDP and Spices Board blockchain project (eSpiceBazaar)</t>
  </si>
  <si>
    <t xml:space="preserve">https://www.gs1india.org/spices-board-echilli-bazaar/</t>
  </si>
  <si>
    <t xml:space="preserve">Secondary</t>
  </si>
  <si>
    <t xml:space="preserve">Forbes (Out of Asia)</t>
  </si>
  <si>
    <t xml:space="preserve">This Indian city is embracing blockchain technology – here's why</t>
  </si>
  <si>
    <t xml:space="preserve">Forbes</t>
  </si>
  <si>
    <t xml:space="preserve">Telangana Today</t>
  </si>
  <si>
    <t xml:space="preserve">Tamper-proof blockchain: Naidu announces enhanced security for AP land documents</t>
  </si>
  <si>
    <t xml:space="preserve">CCN</t>
  </si>
  <si>
    <t xml:space="preserve">Indian states go big on blockchain for land registry, pensions</t>
  </si>
  <si>
    <t xml:space="preserve">https://www.ccn.com/indian-states-launch-blockchain-pilot-land-registry-records/</t>
  </si>
  <si>
    <t xml:space="preserve">Hyperledger India Regional Chapter</t>
  </si>
  <si>
    <t xml:space="preserve">Hyperledger India – eBook (state-wise blockchain applications; NIC onboarding table as of June 2024)</t>
  </si>
  <si>
    <t xml:space="preserve">LF Decentralized Trust</t>
  </si>
  <si>
    <t xml:space="preserve">R17</t>
  </si>
  <si>
    <t xml:space="preserve">NIC Centre of Excellence in Blockchain Technology</t>
  </si>
  <si>
    <t xml:space="preserve">Blockchain technology in judiciary: A concept note</t>
  </si>
  <si>
    <t xml:space="preserve">National Informatics Centre</t>
  </si>
  <si>
    <t xml:space="preserve">https://blockchain.gov.in/Documents/JudiciaryChain.pdf</t>
  </si>
  <si>
    <t xml:space="preserve">About Kerala Blockchain Academy</t>
  </si>
  <si>
    <t xml:space="preserve">Digital University Kerala</t>
  </si>
  <si>
    <t xml:space="preserve">Business Today</t>
  </si>
  <si>
    <t xml:space="preserve">Maharashtra minister launches project to issue caste certificates via blockchain</t>
  </si>
  <si>
    <t xml:space="preserve">https://www.businesstoday.in/crypto/story/maharashtra-minister-launches-project-to-issue-caste-certificates-via-blockchain-329731-2022-04-13</t>
  </si>
  <si>
    <t xml:space="preserve">DH Web Desk</t>
  </si>
  <si>
    <t xml:space="preserve">2022-04-04</t>
  </si>
  <si>
    <t xml:space="preserve">Gadchiroli to use blockchain to authenticate caste certificates: Report</t>
  </si>
  <si>
    <t xml:space="preserve">Deccan Herald</t>
  </si>
  <si>
    <t xml:space="preserve">R21</t>
  </si>
  <si>
    <t xml:space="preserve">The Cryptonomist</t>
  </si>
  <si>
    <t xml:space="preserve">2025-10-31</t>
  </si>
  <si>
    <t xml:space="preserve">Blockchain pilot: India records lands on Polygon</t>
  </si>
  <si>
    <t xml:space="preserve">https://en.cryptonomist.ch/2025/10/31/amravati-blockchain-polygon-pilot-india/</t>
  </si>
  <si>
    <t xml:space="preserve">R22</t>
  </si>
  <si>
    <t xml:space="preserve">Indian city Amravati just put its government on Polygon</t>
  </si>
  <si>
    <t xml:space="preserve">https://www.ccn.com/news/crypto/indian-city-amravati-government-records-on-the-blockchain/</t>
  </si>
  <si>
    <t xml:space="preserve">2020-09-20</t>
  </si>
  <si>
    <t xml:space="preserve">Blockchain policy by TN govt ensures access to services 'anywhere, anytime'</t>
  </si>
  <si>
    <t xml:space="preserve">https://www.business-standard.com/article/current-affairs/blockchain-policy-by-tn-govt-ensures-access-to-services-anywhere-anytime-120092000758_1.html</t>
  </si>
  <si>
    <t xml:space="preserve">R24</t>
  </si>
  <si>
    <t xml:space="preserve">2020-02-05</t>
  </si>
  <si>
    <t xml:space="preserve">Tamil Nadu's leap into AI, blockchain to help the state with better service</t>
  </si>
  <si>
    <t xml:space="preserve">https://www.business-standard.com/article/technology/tamil-nadu-s-leap-into-ai-blockchain-to-help-the-state-with-better-service-120020502136_1.html</t>
  </si>
  <si>
    <t xml:space="preserve">Government of Telangana, ITE&amp;C Department</t>
  </si>
  <si>
    <t xml:space="preserve">Blockchain – Blockchain District and blockchain initiatives</t>
  </si>
  <si>
    <t xml:space="preserve">Government of Telangana</t>
  </si>
  <si>
    <t xml:space="preserve">Inc42</t>
  </si>
  <si>
    <t xml:space="preserve">Telangana govt launches Blockchain District in partnership with Tech Mahindra</t>
  </si>
  <si>
    <t xml:space="preserve">https://inc42.com/buzz/telangana-govt-announce-the-launch-of-blockchain-district-in-partnership-with-tech-mahindra-and-others/</t>
  </si>
  <si>
    <t xml:space="preserve">TokenPost</t>
  </si>
  <si>
    <t xml:space="preserve">Government of Telangana to establish first Blockchain District in India</t>
  </si>
  <si>
    <t xml:space="preserve">https://www.tokenpost.com/Government-of-Telangana-to-establish-first-Blockchain-District-in-India-87</t>
  </si>
  <si>
    <t xml:space="preserve">Observer Research Foundation</t>
  </si>
  <si>
    <t xml:space="preserve">The growing role of blockchain in Indian governance</t>
  </si>
  <si>
    <t xml:space="preserve">ORF Expert Speak</t>
  </si>
  <si>
    <t xml:space="preserve">https://www.orfonline.org/expert-speak/the-growing-role-of-blockchain-in-indian-governance</t>
  </si>
  <si>
    <t xml:space="preserve">Indian state government will issue birth certificates on a blockchain</t>
  </si>
  <si>
    <t xml:space="preserve">https://www.ccn.com/indian-state-government-will-issue-birth-certificates-on-a-blockchain/</t>
  </si>
  <si>
    <t xml:space="preserve">R31</t>
  </si>
  <si>
    <t xml:space="preserve">Cointelegraph</t>
  </si>
  <si>
    <t xml:space="preserve">India hosts 8M gov't docs across 5 blockchains</t>
  </si>
  <si>
    <t xml:space="preserve">https://cointelegraph.com/news/india-8m-govt-docs-blockchains</t>
  </si>
  <si>
    <t xml:space="preserve">R32</t>
  </si>
  <si>
    <t xml:space="preserve">In Focus: Blockchain technology driving the next generation eGovernance applications</t>
  </si>
  <si>
    <t xml:space="preserve">Informatics (NIC)</t>
  </si>
  <si>
    <t xml:space="preserve">https://informatics.nic.in/uploads/infocus/b318d6b5_inf_blockchain_compressed.pdf</t>
  </si>
  <si>
    <t xml:space="preserve">Government launches Vishvasya-Blockchain Technology Stack</t>
  </si>
  <si>
    <t xml:space="preserve">https://www.pib.gov.in/PressReleasePage.aspx?PRID=2051934</t>
  </si>
  <si>
    <t xml:space="preserve">Indian state to implement blockchain for land records</t>
  </si>
  <si>
    <t xml:space="preserve">https://www.ledgerinsights.com/indian-blockchain-land-records-registry-andhra-pradesh/</t>
  </si>
  <si>
    <t xml:space="preserve">R36</t>
  </si>
  <si>
    <t xml:space="preserve">2019-05</t>
  </si>
  <si>
    <t xml:space="preserve">Summary: Telangana's draft policy for a Blockchain District for Hyderabad</t>
  </si>
  <si>
    <t xml:space="preserve">https://www.medianama.com/2019/05/223-summary-telanganas-draft-policy-for-a-blockchain-district-for-hyderabad/</t>
  </si>
  <si>
    <t xml:space="preserve">Land records revolution: Blockchain pilot launched in Assam</t>
  </si>
  <si>
    <t xml:space="preserve">https://informatics.nic.in/files/websites/april-2024/land-records-revolution-blockchain-pilot-launched-in-assam.php</t>
  </si>
  <si>
    <t xml:space="preserve">N02</t>
  </si>
  <si>
    <t xml:space="preserve">Government of Assam / Dept of Land Resources</t>
  </si>
  <si>
    <t xml:space="preserve">2024-09</t>
  </si>
  <si>
    <t xml:space="preserve">NGDRS and implementation of blockchain in land records of Assam [PDF]</t>
  </si>
  <si>
    <t xml:space="preserve">Government of India (S3WaaS)</t>
  </si>
  <si>
    <t xml:space="preserve">https://cdnbbsr.s3waas.gov.in/s3d69116f8b0140cdeb1f99a4d5096ffe4/uploads/2024/09/202409121024408634.pdf</t>
  </si>
  <si>
    <t xml:space="preserve">2025-07-18</t>
  </si>
  <si>
    <t xml:space="preserve">Bihar conducts first mobile e-voting using Polygon blockchain</t>
  </si>
  <si>
    <t xml:space="preserve">https://www.cryptotimes.io/2025/07/18/bihar-conducts-first-mobile-e-voting-using-polygon-blockchain/</t>
  </si>
  <si>
    <t xml:space="preserve">YourStory</t>
  </si>
  <si>
    <t xml:space="preserve">Chhattisgarh successfully conducts its first Blockchain Grand Challenge</t>
  </si>
  <si>
    <t xml:space="preserve">Benzinga</t>
  </si>
  <si>
    <t xml:space="preserve">2025-03-06</t>
  </si>
  <si>
    <t xml:space="preserve">Indian district digitizes 700k land records on Avalanche blockchain</t>
  </si>
  <si>
    <t xml:space="preserve">https://benzinga.com/content/44171553/indian-district-digitizes-700k-land-records-on-avalanche-blockchain</t>
  </si>
  <si>
    <t xml:space="preserve">The Goan</t>
  </si>
  <si>
    <t xml:space="preserve">Govt mulls blockchain tech to secure land transactions</t>
  </si>
  <si>
    <t xml:space="preserve">The Goan EveryDay</t>
  </si>
  <si>
    <t xml:space="preserve">CoinGeek</t>
  </si>
  <si>
    <t xml:space="preserve">India's Goa to digitize police records with blockchain help</t>
  </si>
  <si>
    <t xml:space="preserve">https://coingeek.com/india-goa-to-digitize-police-records-with-blockchain-help/</t>
  </si>
  <si>
    <t xml:space="preserve">Convergence Now</t>
  </si>
  <si>
    <t xml:space="preserve">Gujarat Revenue Department turns to AI, blockchain and GIS to strengthen land governance</t>
  </si>
  <si>
    <t xml:space="preserve">CRISP (Govt of Madhya Pradesh society)</t>
  </si>
  <si>
    <t xml:space="preserve">Haryana Government will give digital certificates to 5 lakh students by CRISP's developed blockchain technology</t>
  </si>
  <si>
    <t xml:space="preserve">CRISP Bhopal</t>
  </si>
  <si>
    <t xml:space="preserve">N10</t>
  </si>
  <si>
    <t xml:space="preserve">Government of Haryana, Dept of IT, Electronics &amp; Communication</t>
  </si>
  <si>
    <t xml:space="preserve">2022-03-15</t>
  </si>
  <si>
    <t xml:space="preserve">Center of Excellence for Blockchain</t>
  </si>
  <si>
    <t xml:space="preserve">Government of Haryana</t>
  </si>
  <si>
    <t xml:space="preserve">Krishi Jagran</t>
  </si>
  <si>
    <t xml:space="preserve">2022-08-19</t>
  </si>
  <si>
    <t xml:space="preserve">Jharkhand becomes first state in India to distribute seed to farmers via blockchain tech</t>
  </si>
  <si>
    <t xml:space="preserve">Startup Challenge to develop citizen-centric innovative solutions using Blockchain and Web3 provides opportunities to build innovative government use cases [Release ID 2246221]</t>
  </si>
  <si>
    <t xml:space="preserve">N13</t>
  </si>
  <si>
    <t xml:space="preserve">Techshots</t>
  </si>
  <si>
    <t xml:space="preserve">Karnataka govt to launch digital wallet, Kaveri blockchain</t>
  </si>
  <si>
    <t xml:space="preserve">https://www.techshotsapp.com/Blockchain/karnataka-govt-to-launch-digital-wallet-kaveri-blockchain</t>
  </si>
  <si>
    <t xml:space="preserve">N14</t>
  </si>
  <si>
    <t xml:space="preserve">2017-11-18</t>
  </si>
  <si>
    <t xml:space="preserve">To ensure better citizen service, Karnataka plans new blockchain policy</t>
  </si>
  <si>
    <t xml:space="preserve">https://www.deccanherald.com/india/karnataka/bengaluru/to-ensure-better-citizen-service-2034471</t>
  </si>
  <si>
    <t xml:space="preserve">Kerala Real Estate</t>
  </si>
  <si>
    <t xml:space="preserve">Kerala's digital leap: Blockchain to transform land registration</t>
  </si>
  <si>
    <t xml:space="preserve">keralarealestate.com (blog)</t>
  </si>
  <si>
    <t xml:space="preserve">https://keralarealestate.com/blogs/keralas-digital-leap-blockchain-to-transform-land-registration</t>
  </si>
  <si>
    <t xml:space="preserve">Blockchain this week: Kerala government projects; Ant Financial targets enterprise blockchain &amp; more</t>
  </si>
  <si>
    <t xml:space="preserve">N17</t>
  </si>
  <si>
    <t xml:space="preserve">Immunochain</t>
  </si>
  <si>
    <t xml:space="preserve">TenderDekho</t>
  </si>
  <si>
    <t xml:space="preserve">RFP for selection of implementation agency for MPSEDC to design, develop, deploy and maintain Blockchain as a Service platform for Madhya Pradesh (Tender ID 2025_SEDC_453633_1)</t>
  </si>
  <si>
    <t xml:space="preserve">2019-08-20</t>
  </si>
  <si>
    <t xml:space="preserve">Maharashtra to use blockchain technology to monitor services</t>
  </si>
  <si>
    <t xml:space="preserve">https://coingeek.com/maharashtra-to-use-blockchain-technology-to-monitor-services/</t>
  </si>
  <si>
    <t xml:space="preserve">Maharashtra launches blockchain sandbox for e-governance</t>
  </si>
  <si>
    <t xml:space="preserve">ANI</t>
  </si>
  <si>
    <t xml:space="preserve">Manipur Education Department embraces blockchain technology on ICP</t>
  </si>
  <si>
    <t xml:space="preserve">Business Standard (ANI press release)</t>
  </si>
  <si>
    <t xml:space="preserve">Sentinel Assam</t>
  </si>
  <si>
    <t xml:space="preserve">Meghalaya to launch blockchain employee data base</t>
  </si>
  <si>
    <t xml:space="preserve">The Sentinel</t>
  </si>
  <si>
    <t xml:space="preserve">CoinTrust</t>
  </si>
  <si>
    <t xml:space="preserve">Odisha pioneers blockchain technology to combat gender-based violence</t>
  </si>
  <si>
    <t xml:space="preserve">India's Odisha plans AI and blockchain handloom hubs</t>
  </si>
  <si>
    <t xml:space="preserve">Odisha Computer Application Centre</t>
  </si>
  <si>
    <t xml:space="preserve">RFP for selection of service provider for design, development, implementation and maintenance of Blockchain as a Service platform for Odisha (OCAC-CERT-INFRA-0001-2023-23123)</t>
  </si>
  <si>
    <t xml:space="preserve">Government of Odisha</t>
  </si>
  <si>
    <t xml:space="preserve">PotatoPro</t>
  </si>
  <si>
    <t xml:space="preserve">Punjab to introduce seed potato traceability and certification using blockchain technology</t>
  </si>
  <si>
    <t xml:space="preserve">Changing Tomorrow</t>
  </si>
  <si>
    <t xml:space="preserve">2024-02-23</t>
  </si>
  <si>
    <t xml:space="preserve">Rajasthan government takes strides towards Digital India with landmark MoU on blockchain technology</t>
  </si>
  <si>
    <t xml:space="preserve">Rajasthan to roll out blockchain technology for land records</t>
  </si>
  <si>
    <t xml:space="preserve">Medium (vendor blog)</t>
  </si>
  <si>
    <t xml:space="preserve">Vendor</t>
  </si>
  <si>
    <t xml:space="preserve">2023-08-12</t>
  </si>
  <si>
    <t xml:space="preserve">Tripura introduces blockchain-based beneficiary management system to secure data</t>
  </si>
  <si>
    <t xml:space="preserve">SettleMint, Polygon Edge &amp; Uttarakhand State: Blockchain-enabled asset tracking</t>
  </si>
  <si>
    <t xml:space="preserve">SettleMint (vendor news)</t>
  </si>
  <si>
    <t xml:space="preserve">https://news.settlemint.com/news/uttarakhand-blockchain-medical-asset-tracking</t>
  </si>
  <si>
    <t xml:space="preserve">GKToday</t>
  </si>
  <si>
    <t xml:space="preserve">2026-07</t>
  </si>
  <si>
    <t xml:space="preserve">Andhra Pradesh launches Mee Bhoomi blockchain pilot</t>
  </si>
  <si>
    <t xml:space="preserve">https://www.gktoday.in/andhra-pradesh-launches-mee-bhoomi-blockchain-pilot/</t>
  </si>
  <si>
    <t xml:space="preserve">N32</t>
  </si>
  <si>
    <t xml:space="preserve">Millennium Post</t>
  </si>
  <si>
    <t xml:space="preserve">2026-07-24</t>
  </si>
  <si>
    <t xml:space="preserve">Andhra CM launches blockchain pilot project for protection of land records</t>
  </si>
  <si>
    <t xml:space="preserve">https://www.millenniumpost.in/amp/nation/andhra-cm-launches-blockchain-pilot-project-for-protection-of-land-records-669432</t>
  </si>
  <si>
    <t xml:space="preserve">The South First</t>
  </si>
  <si>
    <t xml:space="preserve">Andhra Pradesh to use blockchain technology to secure records and data across various departments</t>
  </si>
  <si>
    <t xml:space="preserve">DT Next</t>
  </si>
  <si>
    <t xml:space="preserve">TNeGA gets high-tech training centre, Nambikkai Inaiyam &amp; e-Pettagam app launched</t>
  </si>
  <si>
    <t xml:space="preserve">https://www.dtnext.in/news/tamilnadu/tnega-gets-high-tech-training-centre-nambikkai-inaiyam-e-pettagam-app-launched-718292</t>
  </si>
  <si>
    <t xml:space="preserve">2022-12-23</t>
  </si>
  <si>
    <t xml:space="preserve">TN idol wing now uses blockchain tech to receive inputs &amp; complaints</t>
  </si>
  <si>
    <t xml:space="preserve">N36</t>
  </si>
  <si>
    <t xml:space="preserve">2022-12-05</t>
  </si>
  <si>
    <t xml:space="preserve">Tamil Nadu: First to issue soulbound token</t>
  </si>
  <si>
    <t xml:space="preserve">https://www.gktoday.in/tamil-nadu-first-to-issue-soulbound-token/</t>
  </si>
  <si>
    <t xml:space="preserve">2019-11-26</t>
  </si>
  <si>
    <t xml:space="preserve">UP govt introduces blockchain to allow trading of surplus solar power</t>
  </si>
  <si>
    <t xml:space="preserve">Mercom India</t>
  </si>
  <si>
    <t xml:space="preserve">Uttar Pradesh allows blockchain-based interstate P2P green power trading pilot</t>
  </si>
  <si>
    <t xml:space="preserve">2018-07-22</t>
  </si>
  <si>
    <t xml:space="preserve">Yogi Adityanath govt to build blockchain architecture for data security</t>
  </si>
  <si>
    <t xml:space="preserve">N40</t>
  </si>
  <si>
    <t xml:space="preserve">2020-02-16</t>
  </si>
  <si>
    <t xml:space="preserve">Telangana aims to be India's blockchain capital with new incubators</t>
  </si>
  <si>
    <t xml:space="preserve">N41</t>
  </si>
  <si>
    <t xml:space="preserve">Blockchain technology in Inter-Operable Criminal Justice System for DFSL in Delhi</t>
  </si>
  <si>
    <t xml:space="preserve">The Pioneer</t>
  </si>
  <si>
    <t xml:space="preserve">Delhi FSL to use blockchain technology for tamper-proof evidence recording</t>
  </si>
  <si>
    <t xml:space="preserve">The Daily Pioneer</t>
  </si>
  <si>
    <t xml:space="preserve">https://www.dailypioneer.com/2023/state-editions/delhi-fsl-to-use-blockchain-technology-for-tamper-proof-evidence-recording.html</t>
  </si>
  <si>
    <t xml:space="preserve">N43</t>
  </si>
  <si>
    <t xml:space="preserve">Press Information Bureau (MoCAF&amp;PD)</t>
  </si>
  <si>
    <t xml:space="preserve">2026-02-26</t>
  </si>
  <si>
    <t xml:space="preserve">Government of India launches CBDC-based Digital Food Currency pilot for DBT under PMGKAY in Puducherry [Release ID 2233186]</t>
  </si>
  <si>
    <t xml:space="preserve">Upstox News</t>
  </si>
  <si>
    <t xml:space="preserve">CBDC-based DBT for food subsidy rolled out in Chandigarh, Dadra &amp; Nagar Haveli</t>
  </si>
  <si>
    <t xml:space="preserve">Upstox</t>
  </si>
  <si>
    <t xml:space="preserve">https://upstox.com/news/business-news/latest-updates/cbdc-based-dbt-for-food-subsidy-rolled-out-in-chandigarh-dadra-and-nagar-haveli/article-198689/</t>
  </si>
  <si>
    <t xml:space="preserve">Reddy E, S. V. K.</t>
  </si>
  <si>
    <t xml:space="preserve">India's blockchain experiments need an exit plan [Opinion]</t>
  </si>
  <si>
    <t xml:space="preserve">Kashmir Observer</t>
  </si>
  <si>
    <t xml:space="preserve">Press Information Bureau (Ministry of Textiles)</t>
  </si>
  <si>
    <t xml:space="preserve">Ministry of Textiles empowers ginners to produce Kasturi Cotton Bharat brand [Release ID 2042089]</t>
  </si>
  <si>
    <t xml:space="preserve">Careers360</t>
  </si>
  <si>
    <t xml:space="preserve">2022-01-25</t>
  </si>
  <si>
    <t xml:space="preserve">IIT Kanpur's blockchain project assumes limelight as PM Modi awards Bal Puraskar digitally</t>
  </si>
  <si>
    <t xml:space="preserve">https://news.careers360.com/iit-kanpur-blockchain-assumes-limelight-pm-modi-takes-new-tech-award-bal-puraskar-2022-certificates-digitally</t>
  </si>
  <si>
    <t xml:space="preserve">Singh, R.</t>
  </si>
  <si>
    <t xml:space="preserve">IBDIC's blockchain lending tool for MSMEs clears the theme-neutral sandbox of RBI</t>
  </si>
  <si>
    <t xml:space="preserve">https://www.medianama.com/2025/08/223-ibdic-blockchain-lending-tool-msme-theme-neutral-sandbox-rbi/</t>
  </si>
  <si>
    <t xml:space="preserve">FXStreet</t>
  </si>
  <si>
    <t xml:space="preserve">RBI, Indian banks to pilot blockchain trade financing – report</t>
  </si>
  <si>
    <t xml:space="preserve">https://www.fxstreet.com/cryptocurrencies/news/rbi-indian-banks-to-pilot-blockchain-trade-financing-report-202206230917</t>
  </si>
  <si>
    <t xml:space="preserve">N50</t>
  </si>
  <si>
    <t xml:space="preserve">2023-07-09</t>
  </si>
  <si>
    <t xml:space="preserve">India to deploy blockchain for railway system 'tamper-proof' signaling</t>
  </si>
  <si>
    <t xml:space="preserve">https://coingeek.com/india-to-deploy-blockchain-for-railway-system-tamper-proof-signaling/</t>
  </si>
  <si>
    <t xml:space="preserve">N51</t>
  </si>
  <si>
    <t xml:space="preserve">2021-03-26</t>
  </si>
  <si>
    <t xml:space="preserve">Election Commission working with IIT Madras on blockchain technology for e-voting</t>
  </si>
  <si>
    <t xml:space="preserve">https://www.deccanherald.com/india/election-commission-working-with-iit-madras-on-blockchain-technology-for-e-voting-966817.html</t>
  </si>
  <si>
    <t xml:space="preserve">N52</t>
  </si>
  <si>
    <t xml:space="preserve">Vision IAS</t>
  </si>
  <si>
    <t xml:space="preserve">2026-02-25</t>
  </si>
  <si>
    <t xml:space="preserve">Blockchain-based digital governance (Blockchain India Challenge)</t>
  </si>
  <si>
    <t xml:space="preserve">Vision IAS Current Affairs</t>
  </si>
  <si>
    <t xml:space="preserve">https://visionias.in/current-affairs/news-today/2026-02-25/polity-and-governance/blockchain-based-digital-governance</t>
  </si>
  <si>
    <t xml:space="preserve">N53</t>
  </si>
  <si>
    <t xml:space="preserve">Oracle India</t>
  </si>
  <si>
    <t xml:space="preserve">NITI Aayog, Oracle, Apollo Hospitals and Strides Pharma Sciences come together to end India's growing battle against fake drug distribution [Press release]</t>
  </si>
  <si>
    <t xml:space="preserve">Oracle</t>
  </si>
  <si>
    <t xml:space="preserve">https://www.oracle.com/in/corporate/pressrelease/niti-aayog-oracle-pilot-real-drug-supply-chain-with-blockchain-iot-2018-09-28.html</t>
  </si>
  <si>
    <t xml:space="preserve">2024 sees India embracing blockchain for various use cases</t>
  </si>
  <si>
    <t xml:space="preserve">e-Committee, Supreme Court of India</t>
  </si>
  <si>
    <t xml:space="preserve">Final report on the vision document for Phase III of the eCourts Project</t>
  </si>
  <si>
    <t xml:space="preserve">Supreme Court of India (S3WaaS)</t>
  </si>
  <si>
    <t xml:space="preserve">N57</t>
  </si>
  <si>
    <t xml:space="preserve">LawBeat</t>
  </si>
  <si>
    <t xml:space="preserve">2025-11</t>
  </si>
  <si>
    <t xml:space="preserve">'We must dare to think of alternatives': SC urges blockchain technology reform in land registration</t>
  </si>
  <si>
    <t xml:space="preserve">https://lawbeat.in/supreme-court-judgments/we-must-dare-to-think-of-alternatives-sc-urges-blockchain-technology-reform-in-land-registration-1538701</t>
  </si>
  <si>
    <t xml:space="preserve">N58</t>
  </si>
  <si>
    <t xml:space="preserve">2025-11-08</t>
  </si>
  <si>
    <t xml:space="preserve">Supreme Court raises concern over India's land registration system in Samiullah v. State of Bihar</t>
  </si>
  <si>
    <t xml:space="preserve">https://visionias.in/current-affairs/news-today/2025-11-08/polity-and-governance/supreme-court-raises-concern-over-indias-land-registration-system-in-samiullah-v-state-of-bihar</t>
  </si>
  <si>
    <t xml:space="preserve">N59</t>
  </si>
  <si>
    <t xml:space="preserve">Supreme Court of India</t>
  </si>
  <si>
    <t xml:space="preserve">Samiullah v. The State of Bihar &amp; Ors., 2025 INSC 1292 (P.S. Narasimha &amp; Joymalya Bagchi, JJ.) [Judgment text via LawCurb]</t>
  </si>
  <si>
    <t xml:space="preserve">LawCurb</t>
  </si>
  <si>
    <t xml:space="preserve">Nagware, K.</t>
  </si>
  <si>
    <t xml:space="preserve">Blockchain adoption and opportunities in India [Presentation slides, IIT Madras; incl. NBF dashboard 'as on 14-12-2025']</t>
  </si>
  <si>
    <t xml:space="preserve">Hyperledger India / LF Decentralized Trust</t>
  </si>
  <si>
    <t xml:space="preserve">User-provided PDF (no public URL)</t>
  </si>
  <si>
    <t xml:space="preserve">D02</t>
  </si>
  <si>
    <t xml:space="preserve">Chakraborty, S.</t>
  </si>
  <si>
    <t xml:space="preserve">Interoperability in the age of Web 3.0 [Presentation slides]</t>
  </si>
  <si>
    <t xml:space="preserve">IIT Kharagpur, Ubiquitous Networked Systems Lab</t>
  </si>
  <si>
    <t xml:space="preserve">N60</t>
  </si>
  <si>
    <t xml:space="preserve">MeitY – National Blockchain Framework portal</t>
  </si>
  <si>
    <t xml:space="preserve">Domicile certificate storage and verification system – online genuinity check of certificates through blockchain (J&amp;K; C-DAC Mumbai)</t>
  </si>
  <si>
    <t xml:space="preserve">N61</t>
  </si>
  <si>
    <t xml:space="preserve">Blockchain based Property Registration Management System (Shamshabad, Telangana; C-DAC Hyderabad)</t>
  </si>
  <si>
    <t xml:space="preserve">N62</t>
  </si>
  <si>
    <t xml:space="preserve">eVoting – ensuring vote data immutability through blockchain (Telangana State Election Commission; C-DAC)</t>
  </si>
  <si>
    <t xml:space="preserve">MeitY launches Blockchain India Challenge to promote blockchain-based digital governance solutions [Release ID 2232339]</t>
  </si>
  <si>
    <t xml:space="preserve">https://www.pib.gov.in/PressReleasePage.aspx?PRID=2232339</t>
  </si>
  <si>
    <t xml:space="preserve">Indian Railways to issue NFT tickets on Polygon for rare festival</t>
  </si>
  <si>
    <t xml:space="preserve">Maharashtra govt onboards blockchain startup Print2Block for issuing Covid-19 test certificates</t>
  </si>
  <si>
    <t xml:space="preserve">https://inc42.com/buzz/maharashtra-onboards-blockchain-startup-print2block-for-issuing-covid-19-test-certificates/</t>
  </si>
  <si>
    <t xml:space="preserve">N66</t>
  </si>
  <si>
    <t xml:space="preserve">Dept of Disaster Management, Relief &amp; Rehabilitation, Govt of Maharashtra</t>
  </si>
  <si>
    <t xml:space="preserve">COVID-19 test report – blockchain verification portal (sample record)</t>
  </si>
  <si>
    <t xml:space="preserve">Government of Maharashtra (MahaOnline)</t>
  </si>
  <si>
    <t xml:space="preserve">Fadnavis unveils Maharashtra's ₹50 trillion asset tokenisation plan</t>
  </si>
  <si>
    <t xml:space="preserve">N68</t>
  </si>
  <si>
    <t xml:space="preserve">The Tribune (press release)</t>
  </si>
  <si>
    <t xml:space="preserve">2025-12-04</t>
  </si>
  <si>
    <t xml:space="preserve">Maharashtra takes major leap towards blockchain governance with MoU signed with Infraledger Labs</t>
  </si>
  <si>
    <t xml:space="preserve">The Tribune</t>
  </si>
  <si>
    <t xml:space="preserve">https://www.tribuneindia.com/news/business/maharashtra-takes-major-leap-towards-blockchain-governance-with-mou-signed-with-infraledger-labs/amp/?utm=relatedarticles</t>
  </si>
  <si>
    <t xml:space="preserve">N69</t>
  </si>
  <si>
    <t xml:space="preserve">2025-10-17</t>
  </si>
  <si>
    <t xml:space="preserve">RBI eyes market transformation with CBDC-based tokenization</t>
  </si>
  <si>
    <t xml:space="preserve">https://coingeek.com/rbi-eyes-market-transformation-with-cbdc-based-tokenization/</t>
  </si>
  <si>
    <t xml:space="preserve">N70</t>
  </si>
  <si>
    <t xml:space="preserve">The Crypto Basic</t>
  </si>
  <si>
    <t xml:space="preserve">India launches $107 million tokenised bond pilot linked to RBI wholesale CBDC</t>
  </si>
  <si>
    <t xml:space="preserve">https://thecryptobasic.com/2026/09/11/india-launches-107-million-tokenised-bond-pilot-linked-to-rbi-wholesale-cbdc/</t>
  </si>
  <si>
    <t xml:space="preserve">N71</t>
  </si>
  <si>
    <t xml:space="preserve">NewKerala (IANS)</t>
  </si>
  <si>
    <t xml:space="preserve">2026-05-29</t>
  </si>
  <si>
    <t xml:space="preserve">RBI expands e-rupee pilots, starts tokenised credit deposit trial (RBI Annual Report FY26)</t>
  </si>
  <si>
    <t xml:space="preserve">NewKerala</t>
  </si>
  <si>
    <t xml:space="preserve">https://www.newkerala.com/news/a/rbi-expands-e-rupee-pilots-starts-tokenised-credit-deposit-979.htm</t>
  </si>
  <si>
    <t xml:space="preserve">N72</t>
  </si>
  <si>
    <t xml:space="preserve">DigiYatra data will be saved in decentralised manner, says Scindia</t>
  </si>
  <si>
    <t xml:space="preserve">https://www.business-standard.com/article/current-affairs/digiyatra-data-will-be-saved-in-decentralised-manner-says-scindia-122120100546_1.html</t>
  </si>
  <si>
    <t xml:space="preserve">N73</t>
  </si>
  <si>
    <t xml:space="preserve">Spydra</t>
  </si>
  <si>
    <t xml:space="preserve">GS1 / Mother Dairy ghee traceability case study</t>
  </si>
  <si>
    <t xml:space="preserve">Spydra (vendor)</t>
  </si>
  <si>
    <t xml:space="preserve">https://www.spydra.app/gs1-maahi-ghee-traceability-case-study</t>
  </si>
  <si>
    <t xml:space="preserve">National Dairy Development Board</t>
  </si>
  <si>
    <t xml:space="preserve">Shri Amit Shah launched farmer-oriented activities during NDDB's Diamond Jubilee Year</t>
  </si>
  <si>
    <t xml:space="preserve">NDDB</t>
  </si>
  <si>
    <t xml:space="preserve">IIT Kanpur-backed CRUBN to assist Karnataka Government in developing key blockchain network across the country</t>
  </si>
  <si>
    <t xml:space="preserve">N76</t>
  </si>
  <si>
    <t xml:space="preserve">STPI</t>
  </si>
  <si>
    <t xml:space="preserve">Apiary – Centre of Entrepreneurship in Blockchain Technology</t>
  </si>
  <si>
    <t xml:space="preserve">Software Technology Parks of India (MeitY)</t>
  </si>
  <si>
    <t xml:space="preserve">https://apiary.stpi.in/</t>
  </si>
  <si>
    <t xml:space="preserve">N77</t>
  </si>
  <si>
    <t xml:space="preserve">Harit Dharashiv Abhiyan 2025 (tree plantation record; page now returns 404)</t>
  </si>
  <si>
    <t xml:space="preserve">Emertech (vendor)</t>
  </si>
  <si>
    <t xml:space="preserve">https://emertech.io/tree-plantation-record/</t>
  </si>
  <si>
    <t xml:space="preserve">Live dashboard: products, central organisations &amp; states, departments, documents and documents verified (More Details tables, as on 03-10-2026)</t>
  </si>
  <si>
    <t xml:space="preserve">National Informatics Centre, MeitY</t>
  </si>
  <si>
    <t xml:space="preserve">B02</t>
  </si>
  <si>
    <t xml:space="preserve">Live Chains – onboarded organisations and verification portals</t>
  </si>
  <si>
    <t xml:space="preserve">https://blockchain.gov.in/Home/LiveChain?LiveChain=CertChain</t>
  </si>
  <si>
    <t xml:space="preserve">B03</t>
  </si>
  <si>
    <t xml:space="preserve">Property Chain (PC) – product page</t>
  </si>
  <si>
    <t xml:space="preserve">https://blockchain.gov.in/Home/Product?product=propertychain</t>
  </si>
  <si>
    <t xml:space="preserve">B04</t>
  </si>
  <si>
    <t xml:space="preserve">Remote Voting Chain – PoC (case study)</t>
  </si>
  <si>
    <t xml:space="preserve">Document Chain (DC) – product page</t>
  </si>
  <si>
    <t xml:space="preserve">https://blockchain.gov.in/Home/Product?product=dochcain</t>
  </si>
  <si>
    <t xml:space="preserve">B06</t>
  </si>
  <si>
    <t xml:space="preserve">Logistics Chain (LC) – product page (Aushada)</t>
  </si>
  <si>
    <t xml:space="preserve">https://blockchain.gov.in/Home/Product?product=logisticschain</t>
  </si>
  <si>
    <t xml:space="preserve">B07</t>
  </si>
  <si>
    <t xml:space="preserve">Blockchain as a Service (BaaS) – service page</t>
  </si>
  <si>
    <t xml:space="preserve">https://blockchain.gov.in/Home/Services?service=baas</t>
  </si>
  <si>
    <t xml:space="preserve">B08</t>
  </si>
  <si>
    <t xml:space="preserve">Judiciary Chain (JC) – product page</t>
  </si>
  <si>
    <t xml:space="preserve">https://blockchain.gov.in/Home/Product?product=JudiciaryChain</t>
  </si>
  <si>
    <t xml:space="preserve">B09</t>
  </si>
  <si>
    <t xml:space="preserve">Case studies: Blood Bank, PDS, GST Chain, Land Registration</t>
  </si>
  <si>
    <t xml:space="preserve">https://blockchain.gov.in/Home/CaseStudy?CaseStudy=BloodBank</t>
  </si>
  <si>
    <t xml:space="preserve">B10</t>
  </si>
  <si>
    <t xml:space="preserve">Certificate Chain (CC) – product page</t>
  </si>
  <si>
    <t xml:space="preserve">https://blockchain.gov.in/Home/Product?product=certchain</t>
  </si>
  <si>
    <t xml:space="preserve">Blockchain based caste certification of 65,000 tribals featured in NITI Aayog and UNDP's report</t>
  </si>
  <si>
    <t xml:space="preserve">India to use Ethereum blockchain to verify diploma certificates</t>
  </si>
  <si>
    <t xml:space="preserve">https://cointelegraph.com/news/india-to-use-ethereum-blockchain-to-verify-diploma-certificates</t>
  </si>
  <si>
    <t xml:space="preserve">Forbes India</t>
  </si>
  <si>
    <t xml:space="preserve">Polygon joins hands with Firozabad police to use blockchain technology in battling crime</t>
  </si>
  <si>
    <t xml:space="preserve">N81</t>
  </si>
  <si>
    <t xml:space="preserve">CXO Today</t>
  </si>
  <si>
    <t xml:space="preserve">2023-07-04</t>
  </si>
  <si>
    <t xml:space="preserve">Transforming land mutation records: West Bengal's NKDA and Airchains introduce blockchain integration</t>
  </si>
  <si>
    <t xml:space="preserve">https://cxotoday.com/media-coverage/transforming-land-mutation-records-west-bengals-nkda-and-airchains-introduce-blockchain-integration/</t>
  </si>
  <si>
    <t xml:space="preserve">Press Information Bureau (Ministry of Commerce)</t>
  </si>
  <si>
    <t xml:space="preserve">Spices Board India and UNDP India's Accelerator Lab sign MoU to develop blockchain-powered traceability interface for Indian spices [Release ID 1709674]</t>
  </si>
  <si>
    <t xml:space="preserve">C-DAC (official X account)</t>
  </si>
  <si>
    <t xml:space="preserve">Bihar makes history: India's first mobile e-voting pilot successfully conducted</t>
  </si>
  <si>
    <t xml:space="preserve">C-DAC India</t>
  </si>
  <si>
    <t xml:space="preserve">N84</t>
  </si>
  <si>
    <t xml:space="preserve">The Logical Indian</t>
  </si>
  <si>
    <t xml:space="preserve">2026-02-12</t>
  </si>
  <si>
    <t xml:space="preserve">Raghav Chadha pushes for National Blockchain Property Register to fix India's broken land records system (Rajya Sabha, 9 Feb 2026)</t>
  </si>
  <si>
    <t xml:space="preserve">https://thelogicalindian.com/raghav-chadha-pushes-for-national-blockchain-property-register-to-fix-indias-broken-land-records-system/</t>
  </si>
  <si>
    <t xml:space="preserve">LiveLaw</t>
  </si>
  <si>
    <t xml:space="preserve">'Property purchase traumatic': Supreme Court suggests use of blockchain technology to make land registrations easy &amp; reliable – 2025 LiveLaw (SC) 1071</t>
  </si>
  <si>
    <t xml:space="preserve">https://www.livelaw.in/top-stories/property-purchase-traumatic-supreme-court-suggests-use-of-blockchain-technology-to-make-land-registrations-easy-reliable-309136</t>
  </si>
  <si>
    <t xml:space="preserve">N55</t>
  </si>
  <si>
    <t xml:space="preserve">Chandigarh to launch e-rupee-based food subsidy</t>
  </si>
  <si>
    <t xml:space="preserve">https://www.tribuneindia.com/news/chandigarh/chandigarh-to-launch-e-rupee-based-food-subsidy/</t>
  </si>
  <si>
    <t xml:space="preserve">Blockchain platform statistics file (statistics.json; documents and verifications by chain and department, data date 14-10-2026)</t>
  </si>
  <si>
    <t xml:space="preserve">https://blockchain.gov.in/Statistics/statistics.json</t>
  </si>
  <si>
    <t xml:space="preserve">1.1.0</t>
  </si>
  <si>
    <t xml:space="preserve">Blockchain platform statistics file (data date 23-07-2024), Internet Archive capture of 25 July 2024</t>
  </si>
  <si>
    <t xml:space="preserve">National Informatics Centre, MeitY (via Internet Archive)</t>
  </si>
  <si>
    <t xml:space="preserve">https://web.archive.org/web/20240725002654/https://blockchain.gov.in/Statistics/statistics.json</t>
  </si>
  <si>
    <t xml:space="preserve">W001</t>
  </si>
  <si>
    <t xml:space="preserve">2024-09-05</t>
  </si>
  <si>
    <t xml:space="preserve">Explained: All About National Blockchain Tech Stack, Vishvasya</t>
  </si>
  <si>
    <t xml:space="preserve">https://inc42.com/buzz/explained-all-about-national-blockchain-tech-stack-vishvasya/</t>
  </si>
  <si>
    <t xml:space="preserve">W002</t>
  </si>
  <si>
    <t xml:space="preserve">2021-12-03</t>
  </si>
  <si>
    <t xml:space="preserve">National Strategy on Blockchain (Azadi Ka Digital Mahotsav)</t>
  </si>
  <si>
    <t xml:space="preserve">https://www.pib.gov.in/PressReleseDetailm.aspx?PRID=1777711</t>
  </si>
  <si>
    <t xml:space="preserve">W003</t>
  </si>
  <si>
    <t xml:space="preserve">C-DAC</t>
  </si>
  <si>
    <t xml:space="preserve">About Us - Blockchain India Challenge</t>
  </si>
  <si>
    <t xml:space="preserve">https://challenge.cdac.in/aboutus</t>
  </si>
  <si>
    <t xml:space="preserve">W004</t>
  </si>
  <si>
    <t xml:space="preserve">Praamaanik - product details</t>
  </si>
  <si>
    <t xml:space="preserve">https://www.cdac.in/index.aspx?id=product_details&amp;productId=Praamaanik</t>
  </si>
  <si>
    <t xml:space="preserve">W005</t>
  </si>
  <si>
    <t xml:space="preserve">2026-03-11</t>
  </si>
  <si>
    <t xml:space="preserve">India's 'Blockchain YES, Crypto NO' Push Just Got Its Biggest Funding Yet</t>
  </si>
  <si>
    <t xml:space="preserve">https://www.cryptotimes.io/2026/03/11/indias-blockchain-yes-crypto-no-push-just-got-its-biggest-funding-yet/</t>
  </si>
  <si>
    <t xml:space="preserve">W006</t>
  </si>
  <si>
    <t xml:space="preserve">fundsforNGOs</t>
  </si>
  <si>
    <t xml:space="preserve">2026-03-05</t>
  </si>
  <si>
    <t xml:space="preserve">Applications open for Blockchain India Challenge</t>
  </si>
  <si>
    <t xml:space="preserve">https://fundsforcompanies.fundsforngos.org/awards-and-prizes/applications-open-for-blockchain-india-challenge-india/</t>
  </si>
  <si>
    <t xml:space="preserve">W007</t>
  </si>
  <si>
    <t xml:space="preserve">SME Street</t>
  </si>
  <si>
    <t xml:space="preserve">2026-03-30</t>
  </si>
  <si>
    <t xml:space="preserve">MeitY Web3 Challenge Supports Blockchain Startups In India</t>
  </si>
  <si>
    <t xml:space="preserve">https://smestreet.in/technology/meity-web3-challenge-supports-blockchain-startups-in-india-11434167</t>
  </si>
  <si>
    <t xml:space="preserve">domain-b</t>
  </si>
  <si>
    <t xml:space="preserve">NIC sets up 'Centre of Excellence in Blockchain Technology' in Bengaluru</t>
  </si>
  <si>
    <t xml:space="preserve">https://www.domain-b.com/infotech/it-news/nic-sets-up-centre-of-excellence-in-blockchain-technology-in-bengaluru</t>
  </si>
  <si>
    <t xml:space="preserve">Bitcoin.com News</t>
  </si>
  <si>
    <t xml:space="preserve">2020-01-21</t>
  </si>
  <si>
    <t xml:space="preserve">Indian Minister Inaugurates Blockchain Center of Excellence in Bengaluru</t>
  </si>
  <si>
    <t xml:space="preserve">https://news.bitcoin.com/indian-minister-blockchain-center-of-excellence/</t>
  </si>
  <si>
    <t xml:space="preserve">2021-01-29</t>
  </si>
  <si>
    <t xml:space="preserve">Journey with Blockchain Technology</t>
  </si>
  <si>
    <t xml:space="preserve">https://www.nic.gov.in/journey-with-blockchain-technology/</t>
  </si>
  <si>
    <t xml:space="preserve">W011</t>
  </si>
  <si>
    <t xml:space="preserve">Property Chain - product page</t>
  </si>
  <si>
    <t xml:space="preserve">https://blockchain.gov.in/Home/Product?product=propchain</t>
  </si>
  <si>
    <t xml:space="preserve">W012</t>
  </si>
  <si>
    <t xml:space="preserve">Case study: Public Distribution System</t>
  </si>
  <si>
    <t xml:space="preserve">https://blockchain.gov.in/Home/CaseStudy?CaseStudy=PDS</t>
  </si>
  <si>
    <t xml:space="preserve">W013</t>
  </si>
  <si>
    <t xml:space="preserve">Case study: Land Registration</t>
  </si>
  <si>
    <t xml:space="preserve">https://blockchain.gov.in/Home/CaseStudy?CaseStudy=LandRegistration</t>
  </si>
  <si>
    <t xml:space="preserve">Press Information Bureau (Ministry of Women &amp; Child Development)</t>
  </si>
  <si>
    <t xml:space="preserve">29 children conferred Pradhan Mantri Rashtriya Bal Puraskar-2022</t>
  </si>
  <si>
    <t xml:space="preserve">Press Information Bureau</t>
  </si>
  <si>
    <t xml:space="preserve">Prime Minister to interact with Pradhan Mantri Rashtriya Bal Puraskar awardees on 24th January</t>
  </si>
  <si>
    <t xml:space="preserve">https://www.pib.gov.in/Pressreleaseshare.aspx?PRID=1791598&amp;reg=48&amp;lang=2</t>
  </si>
  <si>
    <t xml:space="preserve">Pradhan Mantri Rashtriya Bal Puraskar 2021-22 awardees received digital certificates developed by CRUBN, an IIT Kanpur incubated company</t>
  </si>
  <si>
    <t xml:space="preserve">https://iitk.ac.in/pm-rashtriya-bal-puraskar-2021-22</t>
  </si>
  <si>
    <t xml:space="preserve">W017</t>
  </si>
  <si>
    <t xml:space="preserve">2023-02</t>
  </si>
  <si>
    <t xml:space="preserve">Explainer: Pradhan Mantri Rashtriya Bal Puraskar (2023)</t>
  </si>
  <si>
    <t xml:space="preserve">https://static.pib.gov.in/WriteReadData/specificdocs/documents/2023/feb/doc202323157101.pdf</t>
  </si>
  <si>
    <t xml:space="preserve">Free Press Journal</t>
  </si>
  <si>
    <t xml:space="preserve">2023-06-30</t>
  </si>
  <si>
    <t xml:space="preserve">IIT Kharagpur Developing Tamper-Proof Signalling System For Safety In Trains</t>
  </si>
  <si>
    <t xml:space="preserve">OdishaTV</t>
  </si>
  <si>
    <t xml:space="preserve">Odia IIT Kharagpur professor to develop tamper proof signalling system</t>
  </si>
  <si>
    <t xml:space="preserve">https://odishatv.in/news/odisha/odisha-train-tragedy-odia-professor-on-a-mission-to-develop-tamper-proof-signalling-system-209121</t>
  </si>
  <si>
    <t xml:space="preserve">Press Information Bureau (NITI Aayog)</t>
  </si>
  <si>
    <t xml:space="preserve">NITI Aayog partners with GNFC Ltd to implement Fertilizer Subsidy Disbursement through Blockchain Technology</t>
  </si>
  <si>
    <t xml:space="preserve">https://www.pib.gov.in/Pressreleaseshare.aspx?PRID=1537221</t>
  </si>
  <si>
    <t xml:space="preserve">NITI Aayog and Oracle sign a Statement of Intent to pilot drug supply-chain using blockchain</t>
  </si>
  <si>
    <t xml:space="preserve">https://pib.gov.in/newsite/PrintRelease.aspx?relid=183804</t>
  </si>
  <si>
    <t xml:space="preserve">FactorDaily</t>
  </si>
  <si>
    <t xml:space="preserve">IndiaChain: Niti Aayog starts on IndiaStack-linked, large-scale Blockchain projects</t>
  </si>
  <si>
    <t xml:space="preserve">https://archive.factordaily.com/indiachain-indiastack-blockchain/</t>
  </si>
  <si>
    <t xml:space="preserve">From Healthtech To Law Enforcement: How India Plans To Use Blockchain</t>
  </si>
  <si>
    <t xml:space="preserve">https://inc42.com/features/healthtech-law-enforcement-india-plans-use-blockchain/</t>
  </si>
  <si>
    <t xml:space="preserve">The News Minute</t>
  </si>
  <si>
    <t xml:space="preserve">RBI to launch India's own digital currency in 2022-23: Finance Minister</t>
  </si>
  <si>
    <t xml:space="preserve">https://www.thenewsminute.com/news/rbi-launch-indias-own-digital-currency-2022-23-finance-minister-160460</t>
  </si>
  <si>
    <t xml:space="preserve">W025</t>
  </si>
  <si>
    <t xml:space="preserve">2022-10-07</t>
  </si>
  <si>
    <t xml:space="preserve">Concept Note on Central Bank Digital Currency</t>
  </si>
  <si>
    <t xml:space="preserve">https://rbi.org.in/scripts/BS_PressReleaseDisplay.aspx?prid=54510</t>
  </si>
  <si>
    <t xml:space="preserve">2022-10-31</t>
  </si>
  <si>
    <t xml:space="preserve">Operationalisation of Central Bank Digital Currency - Wholesale (e₹-W) Pilot</t>
  </si>
  <si>
    <t xml:space="preserve">https://www.rbi.org.in/scripts/BS_PressReleaseDisplay.aspx?prid=54616</t>
  </si>
  <si>
    <t xml:space="preserve">W027</t>
  </si>
  <si>
    <t xml:space="preserve">2022-11-29</t>
  </si>
  <si>
    <t xml:space="preserve">Operationalisation of Central Bank Digital Currency - Retail (e₹-R) Pilot</t>
  </si>
  <si>
    <t xml:space="preserve">https://www.rbi.org.in/scripts/BS_PressReleaseDisplay.aspx?prid=54773</t>
  </si>
  <si>
    <t xml:space="preserve">2023-10-15</t>
  </si>
  <si>
    <t xml:space="preserve">Retail CBDC adoption: Long winding road to 1 million transactions</t>
  </si>
  <si>
    <t xml:space="preserve">https://www.business-standard.com/amp/economy/news/retail-segment-of-cbdc-in-a-slow-lane-customer-awareness-a-challenge-123101500469_1.html</t>
  </si>
  <si>
    <t xml:space="preserve">Morung Express / IANS</t>
  </si>
  <si>
    <t xml:space="preserve">RBI expands e-rupee pilots, starts tokenised credit deposit trial (IANS)</t>
  </si>
  <si>
    <t xml:space="preserve">https://morungexpress.com/rbi-expands-e-rupee-pilots-starts-tokenised-credit-deposit-trial</t>
  </si>
  <si>
    <t xml:space="preserve">Reserve Bank Innovation Hub</t>
  </si>
  <si>
    <t xml:space="preserve">RBIH Interoperable DLT PoC Closure Report</t>
  </si>
  <si>
    <t xml:space="preserve">W031</t>
  </si>
  <si>
    <t xml:space="preserve">2022-06-24</t>
  </si>
  <si>
    <t xml:space="preserve">RBI to collaborate with Indian banks on blockchain based financing project</t>
  </si>
  <si>
    <t xml:space="preserve">https://www.businesstoday.in/amp/crypto/story/rbi-to-collaborate-with-indian-banks-on-blockchain-based-financing-project-338971-2022-06-24</t>
  </si>
  <si>
    <t xml:space="preserve">W032</t>
  </si>
  <si>
    <t xml:space="preserve">RBI, banks pilot letters of credit on blockchain (citing ET)</t>
  </si>
  <si>
    <t xml:space="preserve">https://www.ledgerinsights.com/?p=23718</t>
  </si>
  <si>
    <t xml:space="preserve">Regulatory Sandbox: Fifth Cohort (Theme Neutral) - Test Phase</t>
  </si>
  <si>
    <t xml:space="preserve">Regulatory Sandbox: Fifth Cohort (Theme Neutral) - Exit</t>
  </si>
  <si>
    <t xml:space="preserve">https://www.rbi.org.in/scripts/BS_PressReleaseDisplay.aspx?prid=61033</t>
  </si>
  <si>
    <t xml:space="preserve">W035</t>
  </si>
  <si>
    <t xml:space="preserve">BCR Publishing</t>
  </si>
  <si>
    <t xml:space="preserve">2025-08-18</t>
  </si>
  <si>
    <t xml:space="preserve">RBI approves blockchain platform for MSME financing</t>
  </si>
  <si>
    <t xml:space="preserve">https://bcrpub.com/tag/ibdic/</t>
  </si>
  <si>
    <t xml:space="preserve">Bitcoin Magazine</t>
  </si>
  <si>
    <t xml:space="preserve">2017-01-17</t>
  </si>
  <si>
    <t xml:space="preserve">Indian central bank research institute completes blockchain test</t>
  </si>
  <si>
    <t xml:space="preserve">https://bitcoinmagazine.com/articles/indian-central-bank-research-institute-completes-blockchain-test</t>
  </si>
  <si>
    <t xml:space="preserve">W037</t>
  </si>
  <si>
    <t xml:space="preserve">FinTech Futures</t>
  </si>
  <si>
    <t xml:space="preserve">RBI investigates blockchain for financial applications in India</t>
  </si>
  <si>
    <t xml:space="preserve">https://www.fintechfutures.com/blockchain-crypto-digital-assets/rbi-investigates-blockchain-for-financial-applications-in-india</t>
  </si>
  <si>
    <t xml:space="preserve">Central Banking</t>
  </si>
  <si>
    <t xml:space="preserve">2017-01-09</t>
  </si>
  <si>
    <t xml:space="preserve">RBI research arm tests blockchain for clearing, settlement</t>
  </si>
  <si>
    <t xml:space="preserve">https://www.centralbanking.com/central-banking/news/2480055/rbi-research-arm-tests-blockchain-for-clearing-settlement</t>
  </si>
  <si>
    <t xml:space="preserve">The Paypers</t>
  </si>
  <si>
    <t xml:space="preserve">RBI intensifies R&amp;D work around blockchain tech</t>
  </si>
  <si>
    <t xml:space="preserve">https://thepaypers.com/cryptocurrencies/rbi-intensifies-randd-work-around-blockchain-tech--769922</t>
  </si>
  <si>
    <t xml:space="preserve">W040</t>
  </si>
  <si>
    <t xml:space="preserve">SEBI</t>
  </si>
  <si>
    <t xml:space="preserve">2021-08-25</t>
  </si>
  <si>
    <t xml:space="preserve">SEBI issues circular on Security and Covenant Monitoring using Distributed Ledger Technology (PR 26/2021)</t>
  </si>
  <si>
    <t xml:space="preserve">https://www.sebi.gov.in/media/press-releases/aug-2021/sebi-issues-circular-on-security-and-covenant-monitoring-using-distributed-ledger-technology-_52086.html</t>
  </si>
  <si>
    <t xml:space="preserve">NSDL</t>
  </si>
  <si>
    <t xml:space="preserve">Debenture Security &amp; Covenant Monitoring (DLT)</t>
  </si>
  <si>
    <t xml:space="preserve">https://nsdl.com/issuer-security-covenant-monitoring</t>
  </si>
  <si>
    <t xml:space="preserve">W042</t>
  </si>
  <si>
    <t xml:space="preserve">Cognizant</t>
  </si>
  <si>
    <t xml:space="preserve">2024-11</t>
  </si>
  <si>
    <t xml:space="preserve">NSDL's new blockchain platform protects bond investors</t>
  </si>
  <si>
    <t xml:space="preserve">https://www.cognizant.com/us/en/case-studies/nsdls-new-blockchain-platform-protects-bond-investors</t>
  </si>
  <si>
    <t xml:space="preserve">W043</t>
  </si>
  <si>
    <t xml:space="preserve">Lexplosion</t>
  </si>
  <si>
    <t xml:space="preserve">SEBI promulgates security and covenant monitoring using DLT; in force from 1 April 2022, testing from 1 January 2022</t>
  </si>
  <si>
    <t xml:space="preserve">https://lexplosion.in/sebi-promulgates-security-and-covenant-monitoring-using-distributed-ledger-technology-system-to-come-in-force-from-1st-april-2022-testing-to-begin-from-1st-january-2022</t>
  </si>
  <si>
    <t xml:space="preserve">National Blockchain Framework backgrounder (PDF of PRID 2182023)</t>
  </si>
  <si>
    <t xml:space="preserve">https://static.pib.gov.in/WriteReadData/specificdocs/documents/2025/oct/doc20251024674101.pdf</t>
  </si>
  <si>
    <t xml:space="preserve">2021-03-23</t>
  </si>
  <si>
    <t xml:space="preserve">TRAI Press Release No. 17/2021 on SMS scrubbing under TCCCPR 2018</t>
  </si>
  <si>
    <t xml:space="preserve">https://cms.trai.gov.in/sites/default/files/2024-08/PR_No.17of2021.pdf</t>
  </si>
  <si>
    <t xml:space="preserve">TRAI Press Release No. 92/2024 on traceability of commercial messages</t>
  </si>
  <si>
    <t xml:space="preserve">https://cms.trai.gov.in/sites/default/files/2024-12/PR_No.92of2024.pdf</t>
  </si>
  <si>
    <t xml:space="preserve">W047</t>
  </si>
  <si>
    <t xml:space="preserve">2021-03-09</t>
  </si>
  <si>
    <t xml:space="preserve">TRAI defers SMS scrubbing</t>
  </si>
  <si>
    <t xml:space="preserve">https://www.medianama.com/2021/03/223-trai-defers-sms-scrubbing/</t>
  </si>
  <si>
    <t xml:space="preserve">W048</t>
  </si>
  <si>
    <t xml:space="preserve">Northeast Now</t>
  </si>
  <si>
    <t xml:space="preserve">All commercial promoters and telemarketers need to register on DLT: TRAI</t>
  </si>
  <si>
    <t xml:space="preserve">https://nenow.in/science-technology/all-commercial-promoters-and-telemarketers-need-to-register-on-dlt-trai.html</t>
  </si>
  <si>
    <t xml:space="preserve">Hindustan Times (PTI) via PressReader</t>
  </si>
  <si>
    <t xml:space="preserve">2020-02-17</t>
  </si>
  <si>
    <t xml:space="preserve">EC eyes tech that will let people vote without reaching poll station</t>
  </si>
  <si>
    <t xml:space="preserve">https://www.pressreader.com/india/hindustan-times-delhi/20200217/281930249994903</t>
  </si>
  <si>
    <t xml:space="preserve">2020-08-10</t>
  </si>
  <si>
    <t xml:space="preserve">India Election Commission considers using blockchain technology for remote voting</t>
  </si>
  <si>
    <t xml:space="preserve">https://www.ledgerinsights.com/india-election-commission-considers-using-blockchain-technology-for-remote-voting/</t>
  </si>
  <si>
    <t xml:space="preserve">W051</t>
  </si>
  <si>
    <t xml:space="preserve">The Wire</t>
  </si>
  <si>
    <t xml:space="preserve">2021-01-25</t>
  </si>
  <si>
    <t xml:space="preserve">Election Commission: mock trials for remote voting to begin soon</t>
  </si>
  <si>
    <t xml:space="preserve">https://m.thewire.in/article/government/election-commission-national-voters-day-remote-voting</t>
  </si>
  <si>
    <t xml:space="preserve">Insights IAS</t>
  </si>
  <si>
    <t xml:space="preserve">2021-01-30</t>
  </si>
  <si>
    <t xml:space="preserve">Insights into Editorial: Many vulnerabilities: On using blockchains in electronic voting</t>
  </si>
  <si>
    <t xml:space="preserve">https://www.insightsonindia.com/2021/01/30/insights-into-editorial-many-vulnerabilities-on-using-blockchains-in-electronic-voting/</t>
  </si>
  <si>
    <t xml:space="preserve">W053</t>
  </si>
  <si>
    <t xml:space="preserve">2021-03-27</t>
  </si>
  <si>
    <t xml:space="preserve">India explores blockchain-based e-voting by 2024 general elections</t>
  </si>
  <si>
    <t xml:space="preserve">https://inc42.com/?p=247287</t>
  </si>
  <si>
    <t xml:space="preserve">Informatics January 2022, page 19 (Remote Voting on blockchain)</t>
  </si>
  <si>
    <t xml:space="preserve">https://informatics.nic.in/files/informatics-flipbook-January-2022/files/basic-html/page19.html</t>
  </si>
  <si>
    <t xml:space="preserve">W055</t>
  </si>
  <si>
    <t xml:space="preserve">Office of the Principal Scientific Adviser</t>
  </si>
  <si>
    <t xml:space="preserve">Election Commission of India - IIT Madras (blockchain e-voting)</t>
  </si>
  <si>
    <t xml:space="preserve">https://psa.gov.in/CMS/web/sites/default/files/psa_custom_files/Election Commission of India-IIT Madras.pdf</t>
  </si>
  <si>
    <t xml:space="preserve">W056</t>
  </si>
  <si>
    <t xml:space="preserve">The Tribune (PTI)</t>
  </si>
  <si>
    <t xml:space="preserve">2022-12-29</t>
  </si>
  <si>
    <t xml:space="preserve">Election Commission develops prototype of remote voting machine for domestic migrant voters</t>
  </si>
  <si>
    <t xml:space="preserve">https://www.tribuneindia.com/news/nation/election-commission-develops-prototype-of-remote-voting-machine-for-domestic-migrant-voters-465571</t>
  </si>
  <si>
    <t xml:space="preserve">W057</t>
  </si>
  <si>
    <t xml:space="preserve">Press Information Bureau (Ministry of Law and Justice)</t>
  </si>
  <si>
    <t xml:space="preserve">2025-02-06</t>
  </si>
  <si>
    <t xml:space="preserve">e-Courts Mission Mode Project Phase-III (Rajya Sabha written reply)</t>
  </si>
  <si>
    <t xml:space="preserve">https://www.pib.gov.in/PressReleasePage.aspx?PRID=2100328&amp;reg=48&amp;lang=2</t>
  </si>
  <si>
    <t xml:space="preserve">W058</t>
  </si>
  <si>
    <t xml:space="preserve">2023-09</t>
  </si>
  <si>
    <t xml:space="preserve">eCourts Mission Mode Project (An Overview)</t>
  </si>
  <si>
    <t xml:space="preserve">https://static.pib.gov.in/WriteReadData/specificdocs/documents/2023/sep/doc2023913251301.pdf</t>
  </si>
  <si>
    <t xml:space="preserve">W059</t>
  </si>
  <si>
    <t xml:space="preserve">2025-12-18</t>
  </si>
  <si>
    <t xml:space="preserve">Speedy Disposal of Court Cases</t>
  </si>
  <si>
    <t xml:space="preserve">https://www.pib.gov.in/PressReleseDetailm.aspx?PRID=2205769&amp;reg=3&amp;lang=2</t>
  </si>
  <si>
    <t xml:space="preserve">IANS via Prokerala</t>
  </si>
  <si>
    <t xml:space="preserve">Rs 7,210 crore project to boost use of AI, tech in courts: Arjun Ram Meghwal</t>
  </si>
  <si>
    <t xml:space="preserve">https://www.prokerala.com/news/articles/a1709418.html</t>
  </si>
  <si>
    <t xml:space="preserve">W061</t>
  </si>
  <si>
    <t xml:space="preserve">Orissa Diary</t>
  </si>
  <si>
    <t xml:space="preserve">2025-02-07</t>
  </si>
  <si>
    <t xml:space="preserve">eCourts Phase III: Rs 7210 Cr initiative to modernize judiciary with AI &amp; blockchain</t>
  </si>
  <si>
    <t xml:space="preserve">https://orissadiary.com/ecourts-phase-iii-%E2%82%B97210-cr-initiative-to-modernize-judiciary-with-ai-blockchain/</t>
  </si>
  <si>
    <t xml:space="preserve">Blockchain can make land registration secure: SC for Law Commission to examine it</t>
  </si>
  <si>
    <t xml:space="preserve">https://www.deccanherald.com/india/blockchain-can-make-land-registration-secure-sc-for-law-commission-to-examine-it-restructuring-property-registration-3790576</t>
  </si>
  <si>
    <t xml:space="preserve">W063</t>
  </si>
  <si>
    <t xml:space="preserve">Bar &amp; Bench</t>
  </si>
  <si>
    <t xml:space="preserve">Supreme Court moots blockchain reform for property registration; asks Law Commission for roadmap</t>
  </si>
  <si>
    <t xml:space="preserve">https://www.barandbench.com/news/supreme-court-moots-blockchain-reform-for-property-registration-asks-law-commission-for-roadmap</t>
  </si>
  <si>
    <t xml:space="preserve">'Immutable, cryptographically secure': SC suggests blockchain-based digitisation of land records</t>
  </si>
  <si>
    <t xml:space="preserve">https://www.prokerala.com/news/articles/a1721227.html</t>
  </si>
  <si>
    <t xml:space="preserve">Bank for International Settlements (central bankers' speeches) / RBI</t>
  </si>
  <si>
    <t xml:space="preserve">Sanjay Malhotra: address at Global Fintech Fest 2025 (Unified Markets Interface)</t>
  </si>
  <si>
    <t xml:space="preserve">2025-10-07</t>
  </si>
  <si>
    <t xml:space="preserve">RBI to launch deposit tokenisation pilot on October 8: Details here</t>
  </si>
  <si>
    <t xml:space="preserve">https://www.business-standard.com/economy/news/rbi-deposit-tokenisation-pilot-cbdc-wholesale-digital-tokens-oct8-125100700532_1.html</t>
  </si>
  <si>
    <t xml:space="preserve">W067</t>
  </si>
  <si>
    <t xml:space="preserve">Moneycontrol (via TradingView)</t>
  </si>
  <si>
    <t xml:space="preserve">RBI to launch certificate of deposits tokenisation tomorrow, says official</t>
  </si>
  <si>
    <t xml:space="preserve">https://tr.tradingview.com/news/moneycontrol%3A52b285654094b%3A0-rbi-to-launch-certificate-of-deposits-tokenisation-tomorrow-says-official</t>
  </si>
  <si>
    <t xml:space="preserve">LiveLaw Biz (reproducing SEBI press release)</t>
  </si>
  <si>
    <t xml:space="preserve">SEBI launches 'Demat 2.0' pilot for tokenised corporate bonds (press release)</t>
  </si>
  <si>
    <t xml:space="preserve">https://www.livelawbiz.com/securities-law/sebi/securities-and-exchange-board-of-india-launches-demat-20-pilot-tokenised-corporate-bonds-press-release-549695</t>
  </si>
  <si>
    <t xml:space="preserve">W069</t>
  </si>
  <si>
    <t xml:space="preserve">2026-09</t>
  </si>
  <si>
    <t xml:space="preserve">FAQs on Demat 2.0: Pilot for Tokenised Corporate Bonds</t>
  </si>
  <si>
    <t xml:space="preserve">https://www.sebi.gov.in/sebi_data/faqfiles/sep-2026/1789049630065.pdf</t>
  </si>
  <si>
    <t xml:space="preserve">W070</t>
  </si>
  <si>
    <t xml:space="preserve">KuCoin News</t>
  </si>
  <si>
    <t xml:space="preserve">2026-09-10</t>
  </si>
  <si>
    <t xml:space="preserve">India's SEBI Demat 2.0 pilot raises tokenized bonds via CBDC</t>
  </si>
  <si>
    <t xml:space="preserve">https://www.kucoin.com/news/flash/india-s-sebi-demat-2-0-pilot-raises-122m-in-tokenized-bonds-via-cbdc</t>
  </si>
  <si>
    <t xml:space="preserve">Press Information Bureau (MoCA)</t>
  </si>
  <si>
    <t xml:space="preserve">Civil Aviation Ministry releases the policy on biometric based digital processing of passengers at airports called 'Digi Yatra'</t>
  </si>
  <si>
    <t xml:space="preserve">Four AAI airports and three joint venture airports have completed preliminary testing of the Digi Yatra biometric boarding system</t>
  </si>
  <si>
    <t xml:space="preserve">https://www.pib.gov.in/PressReleaseIframePage.aspx?PRID=1782307&amp;reg=48&amp;lang=2</t>
  </si>
  <si>
    <t xml:space="preserve">2023-02-02</t>
  </si>
  <si>
    <t xml:space="preserve">Digi Yatra to be implemented at Kolkata, Pune, Vijayawada and Hyderabad airports by March 2023</t>
  </si>
  <si>
    <t xml:space="preserve">https://www.pib.gov.in/PressReleseDetailm.aspx?PRID=1895743&amp;reg=48&amp;lang=2</t>
  </si>
  <si>
    <t xml:space="preserve">Union Minister Shri Ram Mohan Naidu inaugurates Digi Yatra facility at 9 more airports</t>
  </si>
  <si>
    <t xml:space="preserve">https://www.pib.gov.in/PressReleasePage.aspx?PRID=2052596&amp;reg=48&amp;lang=2</t>
  </si>
  <si>
    <t xml:space="preserve">2024-04-19</t>
  </si>
  <si>
    <t xml:space="preserve">Explained: Why Digi Yatra has come under scrutiny yet again</t>
  </si>
  <si>
    <t xml:space="preserve">https://www.medianama.com/2024/04/223-explainer-digi-yatra-under-scrutiny-yet-again/</t>
  </si>
  <si>
    <t xml:space="preserve">2026-04-10</t>
  </si>
  <si>
    <t xml:space="preserve">Digi Yatra eyes an international rollout with passport enrolment</t>
  </si>
  <si>
    <t xml:space="preserve">https://www.medianama.com/2026/04/223-digi-yatra-international-travel-roll-out-passport-enrollment/</t>
  </si>
  <si>
    <t xml:space="preserve">NewsBytes</t>
  </si>
  <si>
    <t xml:space="preserve">India to trial Digi Yatra for overseas flights October-December 2026</t>
  </si>
  <si>
    <t xml:space="preserve">https://www.newsbytesapp.com/news/india/india-to-trial-digi-yatra-for-overseas-flights-october-december-2026/tldr</t>
  </si>
  <si>
    <t xml:space="preserve">NDDB Annual Report 2024-25</t>
  </si>
  <si>
    <t xml:space="preserve">https://www.nddb.coop/sites/default/files/pdfs/NDDB_AR_2024_25_Eng.pdf</t>
  </si>
  <si>
    <t xml:space="preserve">Tackling dairy supply chain challenges with blockchain: a case study on ghee</t>
  </si>
  <si>
    <t xml:space="preserve">https://www.spydra.app/blog/tackling-dairy-supply-chain-challenges-with-blockchain-a-case-study-on-ghee</t>
  </si>
  <si>
    <t xml:space="preserve">W080</t>
  </si>
  <si>
    <t xml:space="preserve">Dept of Animal Husbandry &amp; Dairying via WOAH Asia-Pacific</t>
  </si>
  <si>
    <t xml:space="preserve">2023-11</t>
  </si>
  <si>
    <t xml:space="preserve">Livestock traceability (DAHD presentation, WOAH regional meeting)</t>
  </si>
  <si>
    <t xml:space="preserve">https://rr-asia.woah.org/app/uploads/2023/11/7-ms-versha-joshi_livestock-traceability-v3.pdf</t>
  </si>
  <si>
    <t xml:space="preserve">crypto.news</t>
  </si>
  <si>
    <t xml:space="preserve">2024-03-15</t>
  </si>
  <si>
    <t xml:space="preserve">IRCTC India pioneers NFT tickets for the vibrant Holi festival trains</t>
  </si>
  <si>
    <t xml:space="preserve">https://crypto.news/irctc-india-pioneers-nft-tickets-for-the-vibrant-holi-festival-trains/</t>
  </si>
  <si>
    <t xml:space="preserve">CBSE</t>
  </si>
  <si>
    <t xml:space="preserve">Press Note: CBSE uses BlockChain Technology for Board examination documents</t>
  </si>
  <si>
    <t xml:space="preserve">https://www.cbse.gov.in/cbsenew/documents//Press_Note_CBSE_uses_BlockChain_Technology_english.pdf</t>
  </si>
  <si>
    <t xml:space="preserve">W083</t>
  </si>
  <si>
    <t xml:space="preserve">2021-10-14</t>
  </si>
  <si>
    <t xml:space="preserve">Implementation of BlockChain Technology (letter to heads of schools)</t>
  </si>
  <si>
    <t xml:space="preserve">https://www.cbse.gov.in/cbsenew/documents//Letter_to_Schools_BlockChain_final.pdf</t>
  </si>
  <si>
    <t xml:space="preserve">Press Information Bureau (PMO)</t>
  </si>
  <si>
    <t xml:space="preserve">PM attends 54th Convocation Ceremony of IIT Kanpur and launches blockchain-based digital degrees</t>
  </si>
  <si>
    <t xml:space="preserve">W085</t>
  </si>
  <si>
    <t xml:space="preserve">2022-06-29</t>
  </si>
  <si>
    <t xml:space="preserve">IIT Kanpur Convocation: 1,360 students receive blockchain-based digital degrees</t>
  </si>
  <si>
    <t xml:space="preserve">https://news.careers360.com/iit-kanpur-convocation-1360-students-receive-blockchain-based-digital-degrees</t>
  </si>
  <si>
    <t xml:space="preserve">W086</t>
  </si>
  <si>
    <t xml:space="preserve">2023-07-03</t>
  </si>
  <si>
    <t xml:space="preserve">IIT Kanpur 56th Convocation 2023: Mary Kom among 2,127 graduates who get degrees</t>
  </si>
  <si>
    <t xml:space="preserve">https://news.careers360.com/iit-kanpur-56th-convocation-2023-mary-kom-among-2127-graduates-who-get-degrees</t>
  </si>
  <si>
    <t xml:space="preserve">W087</t>
  </si>
  <si>
    <t xml:space="preserve">2024-06-23</t>
  </si>
  <si>
    <t xml:space="preserve">Digital Degree Certificate notification (57th Convocation)</t>
  </si>
  <si>
    <t xml:space="preserve">https://www.iitk.ac.in/doaa/convocation/data/Digital-Degree-Notification-2024.pdf</t>
  </si>
  <si>
    <t xml:space="preserve">IIT Kanpur celebrates 57th Convocation, awards degrees to 2,332 graduates</t>
  </si>
  <si>
    <t xml:space="preserve">https://www.iitk.ac.in/57th-convocation</t>
  </si>
  <si>
    <t xml:space="preserve">W089</t>
  </si>
  <si>
    <t xml:space="preserve">2025-06-23</t>
  </si>
  <si>
    <t xml:space="preserve">IIT Kanpur 58th Convocation press release</t>
  </si>
  <si>
    <t xml:space="preserve">https://www.iitk.ac.in/58th-convocation</t>
  </si>
  <si>
    <t xml:space="preserve">Scroll.in</t>
  </si>
  <si>
    <t xml:space="preserve">2018-07-21</t>
  </si>
  <si>
    <t xml:space="preserve">Blockchain is helping build Andhra Pradesh's new capital – but can it cut through the red tape?</t>
  </si>
  <si>
    <t xml:space="preserve">https://scroll.in/article/887045/blockchain-is-helping-build-andhra-pradeshs-new-capital-but-can-it-cut-through-the-red-tape</t>
  </si>
  <si>
    <t xml:space="preserve">CoinDesk</t>
  </si>
  <si>
    <t xml:space="preserve">Indian State Partners With Blockchain Startup for Land Registry Pilot</t>
  </si>
  <si>
    <t xml:space="preserve">https://www.coindesk.com/markets/2017/10/10/indian-state-partners-with-blockchain-startup-for-land-registry-pilot</t>
  </si>
  <si>
    <t xml:space="preserve">W092</t>
  </si>
  <si>
    <t xml:space="preserve">2017-10-11</t>
  </si>
  <si>
    <t xml:space="preserve">Andhra Pradesh wants to use blockchains for land registration</t>
  </si>
  <si>
    <t xml:space="preserve">https://www.medianama.com/2017/10/223-andhra-pradesh-blockchains-land/</t>
  </si>
  <si>
    <t xml:space="preserve">W093</t>
  </si>
  <si>
    <t xml:space="preserve">Quartz</t>
  </si>
  <si>
    <t xml:space="preserve">2018-07-18</t>
  </si>
  <si>
    <t xml:space="preserve">Blockchain is helping build a new Indian city, but it's no cure for corruption</t>
  </si>
  <si>
    <t xml:space="preserve">https://qz.com/india/1325423/indias-andhra-state-is-using-blockchain-to-build-capital-amaravati</t>
  </si>
  <si>
    <t xml:space="preserve">EconoTimes (citing The Economic Times)</t>
  </si>
  <si>
    <t xml:space="preserve">Telangana and Andhra Pradesh spearhead blockchain adoption in India: Report</t>
  </si>
  <si>
    <t xml:space="preserve">Deccan Chronicle</t>
  </si>
  <si>
    <t xml:space="preserve">2026-07-22</t>
  </si>
  <si>
    <t xml:space="preserve">Chandrababu to Launch AP's Pilot Blockchain-Based Land Records System Today</t>
  </si>
  <si>
    <t xml:space="preserve">https://www.deccanchronicle.com/southern-states/andhra-pradesh/chandrababu-to-launch-aps-pilot-blockchain-based-land-records-system-today-1973097</t>
  </si>
  <si>
    <t xml:space="preserve">The Hans India</t>
  </si>
  <si>
    <t xml:space="preserve">CM Naidu launches blockchain land registry to end land disputes</t>
  </si>
  <si>
    <t xml:space="preserve">https://www.thehansindia.com/news/cities/vijayawada/cm-naidu-launches-blockchain-land-registry-to-end-land-disputes-1100697</t>
  </si>
  <si>
    <t xml:space="preserve">Informatics (July 2025): Andhra Pradesh state centre feature – Property Chain and PENMAN ePPO</t>
  </si>
  <si>
    <t xml:space="preserve">https://informatics.nic.in/uploads/pdfs/f9e7d802_06_13_fts_andhra.pdf</t>
  </si>
  <si>
    <t xml:space="preserve">W098</t>
  </si>
  <si>
    <t xml:space="preserve">2025-03-07</t>
  </si>
  <si>
    <t xml:space="preserve">Chhattisgarh's Dantewada Adopts Blockchain To Avoid Tampering Of Land Records</t>
  </si>
  <si>
    <t xml:space="preserve">https://inc42.com/buzz/chhattisgarhs-dantewada-adopts-blockchain-to-avoid-tampering-of-land-records/</t>
  </si>
  <si>
    <t xml:space="preserve">W099</t>
  </si>
  <si>
    <t xml:space="preserve">2025-03-10</t>
  </si>
  <si>
    <t xml:space="preserve">Dantewada District Administration Launches Blockchain-Secured Land Record Application</t>
  </si>
  <si>
    <t xml:space="preserve">https://www.avalanche.com/about/blog/dantewada-district-administration-launches-blockchain-secured-land-record-application</t>
  </si>
  <si>
    <t xml:space="preserve">W100</t>
  </si>
  <si>
    <t xml:space="preserve">Realty Plus</t>
  </si>
  <si>
    <t xml:space="preserve">2025-03-15</t>
  </si>
  <si>
    <t xml:space="preserve">Chhattisgarh's Dantewada District Uses Blockchain to Digitises Land Records</t>
  </si>
  <si>
    <t xml:space="preserve">https://www.rprealtyplus.com/allied/chhattisgarhs-dantewada-district-uses-blockchain-to-digitises-land-records-119169.html</t>
  </si>
  <si>
    <t xml:space="preserve">ETV Bharat (Hindi)</t>
  </si>
  <si>
    <t xml:space="preserve">Dantewada creates history in blockchain-based land record digitisation (CM Excellence Award)</t>
  </si>
  <si>
    <t xml:space="preserve">W102</t>
  </si>
  <si>
    <t xml:space="preserve">Indira Gandhi Krishi Vishwavidyalaya / NIC Chhattisgarh State Centre</t>
  </si>
  <si>
    <t xml:space="preserve">IGKV Academic {BlockChain} – certificate verification portal</t>
  </si>
  <si>
    <t xml:space="preserve">https://igkv.ac.in/Blockchain/blockVerify.aspx</t>
  </si>
  <si>
    <t xml:space="preserve">W103</t>
  </si>
  <si>
    <t xml:space="preserve">State governments embrace Blockchain to improve citizen services, start with reform of land records</t>
  </si>
  <si>
    <t xml:space="preserve">https://yourstory.com/2018/11/state-governments-embrace-blockchain-improve-citizen-services-start-reform-land-records</t>
  </si>
  <si>
    <t xml:space="preserve">Global Prime News</t>
  </si>
  <si>
    <t xml:space="preserve">2022-08-02</t>
  </si>
  <si>
    <t xml:space="preserve">5ire Signs MoU With Goa Police To Develop Smart Policing System</t>
  </si>
  <si>
    <t xml:space="preserve">Social News XYZ / IANS</t>
  </si>
  <si>
    <t xml:space="preserve">2026-05-06</t>
  </si>
  <si>
    <t xml:space="preserve">Gujarat Revenue Dept focuses on AI, blockchain and GIS for land governance reform (IANS)</t>
  </si>
  <si>
    <t xml:space="preserve">https://www.socialnews.xyz/2026/05/06/gujarat-revenue-dept-focuses-on-ai-blockchain-and-gis-for-land-governance-reform</t>
  </si>
  <si>
    <t xml:space="preserve">Naapbooks Limited</t>
  </si>
  <si>
    <t xml:space="preserve">2024-01</t>
  </si>
  <si>
    <t xml:space="preserve">Naapbooks Limited Signs Strategic MoU with Government of Gujarat to Digitalise Notarisation</t>
  </si>
  <si>
    <t xml:space="preserve">https://www.naapbooks.com/insights/blog/vibrant-gujarat-mou-2024/</t>
  </si>
  <si>
    <t xml:space="preserve">Naapbooks Directors Hold Strategic Meeting with Odisha's IT Minister on e-Notary Digitalisation</t>
  </si>
  <si>
    <t xml:space="preserve">W108</t>
  </si>
  <si>
    <t xml:space="preserve">ScanX</t>
  </si>
  <si>
    <t xml:space="preserve">2026-02-27</t>
  </si>
  <si>
    <t xml:space="preserve">Naapbooks Limited Discusses e-Notary Digitalization Project with Odisha IT Minister</t>
  </si>
  <si>
    <t xml:space="preserve">https://scanx.trade/stock-market-news/stocks/naapbooks-limited-discusses-e-notary-digitalization-project-with-odisha-it-minister/33731109</t>
  </si>
  <si>
    <t xml:space="preserve">W109</t>
  </si>
  <si>
    <t xml:space="preserve">2025-11-11</t>
  </si>
  <si>
    <t xml:space="preserve">Gujarat CM to launch notary portal; certificates to be awarded to over 1,500 newly appointed notaries</t>
  </si>
  <si>
    <t xml:space="preserve">https://www.socialnews.xyz/2025/11/11/gujarat-cm-to-launch-notary-portal-certificates-to-be-awarded-to-over-1500-newly-appointed-notaries/</t>
  </si>
  <si>
    <t xml:space="preserve">MeitY, Software Technology Parks of India launch Centre of Excellence for Blockchain Technology</t>
  </si>
  <si>
    <t xml:space="preserve">https://yourstory.com/2020/07/meity-stpi-launch-centre-of-excellence-blockchain-technology</t>
  </si>
  <si>
    <t xml:space="preserve">STPI (MeitY)</t>
  </si>
  <si>
    <t xml:space="preserve">2021-03-24</t>
  </si>
  <si>
    <t xml:space="preserve">Apiary: Centre of Entrepreneurship in blockchain technology begins operations at STPI Gurugram</t>
  </si>
  <si>
    <t xml:space="preserve">https://stpi.in/en/news/apiary-centre-entrepreneurship-blockchain-technology-begins-operations-stpi-gurugram</t>
  </si>
  <si>
    <t xml:space="preserve">STPI sets up state-of-the-art incubation facility at its Gurugram campus to promote entrepreneurship in Blockchain Technology</t>
  </si>
  <si>
    <t xml:space="preserve">https://www.pib.gov.in/PressReleaseIframePage.aspx?PRID=1969482&amp;reg=48&amp;lang=2</t>
  </si>
  <si>
    <t xml:space="preserve">W113</t>
  </si>
  <si>
    <t xml:space="preserve">2026-09-13</t>
  </si>
  <si>
    <t xml:space="preserve">Apiary – Centre of Entrepreneurship (STPI)</t>
  </si>
  <si>
    <t xml:space="preserve">https://stpi.in/en/centre-of-entrepreneurship/apiary</t>
  </si>
  <si>
    <t xml:space="preserve">Innovation, Opportunities, and the Future to be Shaped at India Blockchain Horizons 2025</t>
  </si>
  <si>
    <t xml:space="preserve">https://www.tribuneindia.com/news/business/innovation-opportunities-and-the-future-to-be-shaped-at-india-blockchain-horizons-2025/</t>
  </si>
  <si>
    <t xml:space="preserve">W115</t>
  </si>
  <si>
    <t xml:space="preserve">Jharkhand blockchain seed distribution</t>
  </si>
  <si>
    <t xml:space="preserve">https://news.settlemint.com/news/jharkhand-blockchain-seed-distribution</t>
  </si>
  <si>
    <t xml:space="preserve">W116</t>
  </si>
  <si>
    <t xml:space="preserve">Kisan Tak</t>
  </si>
  <si>
    <t xml:space="preserve">2023-05-14</t>
  </si>
  <si>
    <t xml:space="preserve">Jharkhand: Agriculture minister launches Kharif seed distribution (blockchain-based)</t>
  </si>
  <si>
    <t xml:space="preserve">https://www.kisantak.in/khad-beej/jharkhand/story/jharkhand-agriculture-news-seed-distribution-for-kharif-season-started-badal-patralekh-557701-2023-05-14</t>
  </si>
  <si>
    <t xml:space="preserve">W117</t>
  </si>
  <si>
    <t xml:space="preserve">Global Agriculture</t>
  </si>
  <si>
    <t xml:space="preserve">Blockchain Technology: A Farm-to-Plate traceability solution for seed value chain</t>
  </si>
  <si>
    <t xml:space="preserve">https://www.global-agriculture.com/global-agriculture/blockchain-technology-a-farm-to-plate-traceability-solution-for-seed-value-chain/</t>
  </si>
  <si>
    <t xml:space="preserve">W118</t>
  </si>
  <si>
    <t xml:space="preserve">Springer (Beyond Artificial Intelligence, AICTA 2023)</t>
  </si>
  <si>
    <t xml:space="preserve">Application of Emerging Technology in an Emerging Economy: Case of GovTech Through Blockchain-Based Seeds Traceability in Jharkhand</t>
  </si>
  <si>
    <t xml:space="preserve">https://link.springer.com/chapter/10.1007/978-981-96-4170-3_10</t>
  </si>
  <si>
    <t xml:space="preserve">Jharkhand agriculture department gears up for seed distribution as monsoon arrives</t>
  </si>
  <si>
    <t xml:space="preserve">https://www.etvbharat.com/hi/state/agriculture-department-gears-up-for-seed-distribution-in-jharkhand-jhs26061404326</t>
  </si>
  <si>
    <t xml:space="preserve">W120</t>
  </si>
  <si>
    <t xml:space="preserve">National Informatics Centre (Karnataka State Centre), MeitY</t>
  </si>
  <si>
    <t xml:space="preserve">2025-09</t>
  </si>
  <si>
    <t xml:space="preserve">Blockchain and its applications</t>
  </si>
  <si>
    <t xml:space="preserve">https://cdnbbsr.s3waas.gov.in/s3dcf6070a4ab7f3afbfd2809173e0824b/uploads/2025/09/202509151506270438.pdf</t>
  </si>
  <si>
    <t xml:space="preserve">W121</t>
  </si>
  <si>
    <t xml:space="preserve">National Blockchain Framework</t>
  </si>
  <si>
    <t xml:space="preserve">https://www.pib.gov.in/PressReleasePage.aspx?PRID=2182023&amp;reg=3&amp;lang=2</t>
  </si>
  <si>
    <t xml:space="preserve">W122</t>
  </si>
  <si>
    <t xml:space="preserve">Frontier Tech Hub (UK FCDO)</t>
  </si>
  <si>
    <t xml:space="preserve">Improving Land Records in Karnataka through Blockchain</t>
  </si>
  <si>
    <t xml:space="preserve">https://www.frontiertechhub.org/pilot-portfolio/landrecords-blockchain-india</t>
  </si>
  <si>
    <t xml:space="preserve">W123</t>
  </si>
  <si>
    <t xml:space="preserve">ICTworks</t>
  </si>
  <si>
    <t xml:space="preserve">2023-02-23</t>
  </si>
  <si>
    <t xml:space="preserve">3 Challenges Bringing Blockchain Land Tenure Records to India</t>
  </si>
  <si>
    <t xml:space="preserve">https://www.ictworks.org/blockchain-land-tenure-records-india/</t>
  </si>
  <si>
    <t xml:space="preserve">W124</t>
  </si>
  <si>
    <t xml:space="preserve">National Informatics Centre, Karnataka</t>
  </si>
  <si>
    <t xml:space="preserve">NIC Karnataka – Profile</t>
  </si>
  <si>
    <t xml:space="preserve">https://karnataka.nic.in/en/profile/</t>
  </si>
  <si>
    <t xml:space="preserve">2021-01-03</t>
  </si>
  <si>
    <t xml:space="preserve">Karnataka to use blockchain for property registration</t>
  </si>
  <si>
    <t xml:space="preserve">https://www.deccanherald.com/india/karnataka/karnataka-to-use-blockchain-for-property-registration-934862.html</t>
  </si>
  <si>
    <t xml:space="preserve">W126</t>
  </si>
  <si>
    <t xml:space="preserve">3AI</t>
  </si>
  <si>
    <t xml:space="preserve">2021-01-06</t>
  </si>
  <si>
    <t xml:space="preserve">Property Registration in Karnataka to use Blockchain Technology</t>
  </si>
  <si>
    <t xml:space="preserve">https://3ai.in/property-registration-in-karnataka-to-use-blockchain-technology/</t>
  </si>
  <si>
    <t xml:space="preserve">W127</t>
  </si>
  <si>
    <t xml:space="preserve">2021-09-30</t>
  </si>
  <si>
    <t xml:space="preserve">Blockchain for property data: Pilot launch soon</t>
  </si>
  <si>
    <t xml:space="preserve">https://www.deccanherald.com/india/karnataka/blockchain-for-property-data-pilot-launch-soon-1036023.html</t>
  </si>
  <si>
    <t xml:space="preserve">HomeCapital (blog, citing Times of India)</t>
  </si>
  <si>
    <t xml:space="preserve">Karnataka government to launch digital wallets for storing property records</t>
  </si>
  <si>
    <t xml:space="preserve">https://blog.homecapital.in/karnataka-government-to-launch-digital-wallets-for-storing-property-records/</t>
  </si>
  <si>
    <t xml:space="preserve">W129</t>
  </si>
  <si>
    <t xml:space="preserve">Department of Stamps and Registration, Govt of Karnataka</t>
  </si>
  <si>
    <t xml:space="preserve">e-Governance Initiatives</t>
  </si>
  <si>
    <t xml:space="preserve">Karnataka plans to leverage blockchain to handle govt procurements</t>
  </si>
  <si>
    <t xml:space="preserve">https://www.medianama.com/2021/11/223-karnataka-blockchain-network-e-procurement-system/</t>
  </si>
  <si>
    <t xml:space="preserve">Blockchain Academy to Launch in Indian State of Kerala</t>
  </si>
  <si>
    <t xml:space="preserve">https://www.coindesk.com/markets/2017/03/07/blockchain-academy-to-launch-in-indian-state-of-kerala</t>
  </si>
  <si>
    <t xml:space="preserve">Kerala Blockchain Academy (official blog)</t>
  </si>
  <si>
    <t xml:space="preserve">https://kbaiiitmk.medium.com/</t>
  </si>
  <si>
    <t xml:space="preserve">Grand Challenges (Gates Foundation)</t>
  </si>
  <si>
    <t xml:space="preserve">Immunochain: A Traceability Solution for Vaccines in Immunization Programs (grant record)</t>
  </si>
  <si>
    <t xml:space="preserve">https://gcgh.grandchallenges.org/grant/immunochain-traceability-solution-vaccines-immunization-programs</t>
  </si>
  <si>
    <t xml:space="preserve">Kerala Development and Innovation Strategic Council (K-DISC)</t>
  </si>
  <si>
    <t xml:space="preserve">Immunochain: A Blockchain Enabled Vaccine ... (innovation brief)</t>
  </si>
  <si>
    <t xml:space="preserve">https://kdisc.kerala.gov.in/wp-content/uploads/2023/10/Immunochain.pdf</t>
  </si>
  <si>
    <t xml:space="preserve">W135</t>
  </si>
  <si>
    <t xml:space="preserve">Awards &amp; Achievements</t>
  </si>
  <si>
    <t xml:space="preserve">https://duk.ac.in/awards-achievements/</t>
  </si>
  <si>
    <t xml:space="preserve">W136</t>
  </si>
  <si>
    <t xml:space="preserve">Blockchain Council</t>
  </si>
  <si>
    <t xml:space="preserve">2018-07-08</t>
  </si>
  <si>
    <t xml:space="preserve">Kerala to use Blockchain Technology for Food Supply</t>
  </si>
  <si>
    <t xml:space="preserve">https://www.blockchain-council.org/blockchain/kerala-to-use-blockchain-technology-for-food-supply/</t>
  </si>
  <si>
    <t xml:space="preserve">Onmanorama</t>
  </si>
  <si>
    <t xml:space="preserve">State govt to use blockchain for safer land transactions: CM Vijayan</t>
  </si>
  <si>
    <t xml:space="preserve">https://www.onmanorama.com/news/kerala/2026/01/04/kerala-chief-minister-government-reforms.html</t>
  </si>
  <si>
    <t xml:space="preserve">W138</t>
  </si>
  <si>
    <t xml:space="preserve">Deshabhimani</t>
  </si>
  <si>
    <t xml:space="preserve">Kerala plans blockchain, other reforms to secure land transactions: Chief Minister Pinarayi Vijayan</t>
  </si>
  <si>
    <t xml:space="preserve">https://www.deshabhimani.com/deshabhimani-english-/kerala-news/kerala-blockchain-reforms-secure-land-04768</t>
  </si>
  <si>
    <t xml:space="preserve">W139</t>
  </si>
  <si>
    <t xml:space="preserve">Kerala Public Service Commission</t>
  </si>
  <si>
    <t xml:space="preserve">2026-01-15</t>
  </si>
  <si>
    <t xml:space="preserve">CM inaugurated Kerala Public Service Commission Block Chain System on 15 Jan 2026</t>
  </si>
  <si>
    <t xml:space="preserve">MSBNPE notifications – notice on blockchain digital academic certificates for all nursing courses (04.07.2025)</t>
  </si>
  <si>
    <t xml:space="preserve">https://www.msbnpe.org/notifications/</t>
  </si>
  <si>
    <t xml:space="preserve">Block Chain Notification – Digi-Certificate user manual (passing certificate, marksheet, diploma)</t>
  </si>
  <si>
    <t xml:space="preserve">https://www.msbnpe.org/pdf/Block%20Chain%20Notification.pdf</t>
  </si>
  <si>
    <t xml:space="preserve">Certificate Chain – Certificates onboarded (live list, accessed 4 Oct 2026)</t>
  </si>
  <si>
    <t xml:space="preserve">https://certificatechain.nic.in/Home/DocumentsOnboarded</t>
  </si>
  <si>
    <t xml:space="preserve">W143</t>
  </si>
  <si>
    <t xml:space="preserve">Certificate Chain – Departments onboarded (live list, accessed 4 Oct 2026)</t>
  </si>
  <si>
    <t xml:space="preserve">https://certificatechain.nic.in/Home/DepartmentOnboarded</t>
  </si>
  <si>
    <t xml:space="preserve">NavBharat Live</t>
  </si>
  <si>
    <t xml:space="preserve">2025-10-29</t>
  </si>
  <si>
    <t xml:space="preserve">Amravati Municipal Corporation adopts blockchain technology (Hindi)</t>
  </si>
  <si>
    <t xml:space="preserve">CoinLaw</t>
  </si>
  <si>
    <t xml:space="preserve">India's Amaravati city to push land records on blockchain with Polygon</t>
  </si>
  <si>
    <t xml:space="preserve">https://coinlaw.io/amaravati-polygon-blockchain-land-records/</t>
  </si>
  <si>
    <t xml:space="preserve">Coin Crunch India</t>
  </si>
  <si>
    <t xml:space="preserve">Maharashtra Gov. uses blockchain to issue COVID test certificates</t>
  </si>
  <si>
    <t xml:space="preserve">https://coincrunch.in/2021/08/12/maharashtra-uses-blockchain-to-issue-covid-test-certificates/</t>
  </si>
  <si>
    <t xml:space="preserve">Blockmagic</t>
  </si>
  <si>
    <t xml:space="preserve">Covid/Omicron testing and vaccination goes to Blockchain</t>
  </si>
  <si>
    <t xml:space="preserve">https://www.blockmagic.in/blockchain/use-cases-and-applications/covid-omicron-testing-and-vaccination-goes-to-blockchain/</t>
  </si>
  <si>
    <t xml:space="preserve">W148</t>
  </si>
  <si>
    <t xml:space="preserve">COVID19 Universal Pass – DMRR blockchain verification page (DocChain.io; Polygon contract)</t>
  </si>
  <si>
    <t xml:space="preserve">https://block.dmrr.mahaonline.gov.in/uni-pass?id=ffa41d0f9c1de14d673f44d5ccf50627210050c260c9437a3bb3219add1d9151</t>
  </si>
  <si>
    <t xml:space="preserve">India's richest state considers selling tokenized claims of its power assets to fund new infrastructure</t>
  </si>
  <si>
    <t xml:space="preserve">https://www.coindesk.com/markets/2026/09/11/india-s-richest-state-is-exploring-tokenizing-its-own-assets-to-fund-new-infrastructure</t>
  </si>
  <si>
    <t xml:space="preserve">W150</t>
  </si>
  <si>
    <t xml:space="preserve">2026-07-20</t>
  </si>
  <si>
    <t xml:space="preserve">DELTA law should unlock the potential of the latent value of properties: Maharashtra CM Devendra Fadnavis</t>
  </si>
  <si>
    <t xml:space="preserve">https://www.deccanherald.com/india/maharashtra/delta-law-should-unlock-the-potential-of-the-latent-value-of-properties-maharashtra-cm-devendra-fadnavis-4080685</t>
  </si>
  <si>
    <t xml:space="preserve">W151</t>
  </si>
  <si>
    <t xml:space="preserve">The Bridge Chronicle</t>
  </si>
  <si>
    <t xml:space="preserve">2026-09-09</t>
  </si>
  <si>
    <t xml:space="preserve">Maharashtra DELTA Act: State moves to tokenise land, unlock liquidity with blockchain-based asset regime</t>
  </si>
  <si>
    <t xml:space="preserve">https://www.thebridgechronicle.com/business/finance/delta-act-to-tokenise-land-unlock-liquidity-as-maharashtra-pushes-toward-blockchain-based-asset-regime</t>
  </si>
  <si>
    <t xml:space="preserve">Maharashtra prepares India's first blockchain law to tokenise land</t>
  </si>
  <si>
    <t xml:space="preserve">https://www.cryptotimes.io/2026/09/09/maharashtra-prepares-indias-first-blockchain-law-to-tokenise-land-cm-fadnavis/</t>
  </si>
  <si>
    <t xml:space="preserve">Agrowon (Sakal)</t>
  </si>
  <si>
    <t xml:space="preserve">Dharashiv sets world record: 1.5 million trees to be planted in a day (Marathi)</t>
  </si>
  <si>
    <t xml:space="preserve">Government of Tamil Nadu, IT&amp;DS Department</t>
  </si>
  <si>
    <t xml:space="preserve">Information Technology and Digital Services Department Policy Note 2025-2026</t>
  </si>
  <si>
    <t xml:space="preserve">W155</t>
  </si>
  <si>
    <t xml:space="preserve">Information Technology and Digital Services Department Policy Note 2024-2025</t>
  </si>
  <si>
    <t xml:space="preserve">https://it.tn.gov.in/sites/default/files/2025-08/it_e_pn_2024_25.pdf</t>
  </si>
  <si>
    <t xml:space="preserve">W156</t>
  </si>
  <si>
    <t xml:space="preserve">2023-06-14</t>
  </si>
  <si>
    <t xml:space="preserve">Tamil Nadu launches blockchain infra, mobile wallet for documents</t>
  </si>
  <si>
    <t xml:space="preserve">https://yourstory.com/the-decrypting-story/india-tamil-nadu-blockchain-mobile-wallet</t>
  </si>
  <si>
    <t xml:space="preserve">W157</t>
  </si>
  <si>
    <t xml:space="preserve">Devdiscourse / PTI</t>
  </si>
  <si>
    <t xml:space="preserve">TN Idol Wing to use Blockchain for complaints, grievances (PTI)</t>
  </si>
  <si>
    <t xml:space="preserve">https://www.devdiscourse.com/article/technology/2297200-tn-idol-wing-to-use-blockchain-for-complaints-grievances</t>
  </si>
  <si>
    <t xml:space="preserve">W158</t>
  </si>
  <si>
    <t xml:space="preserve">The South First / PTI</t>
  </si>
  <si>
    <t xml:space="preserve">2022-12-24</t>
  </si>
  <si>
    <t xml:space="preserve">Tamil Nadu Idol wing CID to use blockchain for tracing idols (PTI)</t>
  </si>
  <si>
    <t xml:space="preserve">https://thesouthfirst.com/pti/tamil-nadu-idol-wing-cid-to-use-blockchain-for-tracing-idols/</t>
  </si>
  <si>
    <t xml:space="preserve">Indian Masterminds</t>
  </si>
  <si>
    <t xml:space="preserve">Tamil Nadu Police, First in the World, to Adopt Blockchain Technology</t>
  </si>
  <si>
    <t xml:space="preserve">ThePrint / ANI Press Releases</t>
  </si>
  <si>
    <t xml:space="preserve">In a World's First, Soulbound Tokens to be issued as Digital Medals by Indian Government in Chennai (ANI press release)</t>
  </si>
  <si>
    <t xml:space="preserve">https://theprint.in/ani-press-releases/in-a-worlds-first-soulbound-tokens-to-be-issued-as-digital-medals-by-indian-government-in-chennai/1244415/</t>
  </si>
  <si>
    <t xml:space="preserve">W161</t>
  </si>
  <si>
    <t xml:space="preserve">BizzBuzz</t>
  </si>
  <si>
    <t xml:space="preserve">2022-12-02</t>
  </si>
  <si>
    <t xml:space="preserve">Soulbound Tokens to be issued as Digital Medals</t>
  </si>
  <si>
    <t xml:space="preserve">https://www.bizzbuzz.news/markets/soulbound-tokens-to-be-issued-as-digital-medals-1183089</t>
  </si>
  <si>
    <t xml:space="preserve">2018-08-03</t>
  </si>
  <si>
    <t xml:space="preserve">Tech Mahindra inks pact with Telangana for first Blockchain district</t>
  </si>
  <si>
    <t xml:space="preserve">https://www.deccanchronicle.com/business/companies/030818/tech-mahindra-inks-pact-with-telangana-for-first-blockchain-district.html</t>
  </si>
  <si>
    <t xml:space="preserve">W163</t>
  </si>
  <si>
    <t xml:space="preserve">2019-05-27</t>
  </si>
  <si>
    <t xml:space="preserve">Telangana Announce Draft Blockchain Policy To Become India's Blockchain Capital</t>
  </si>
  <si>
    <t xml:space="preserve">https://inc42.com/buzz/telangana-draft-blockchain-policy/</t>
  </si>
  <si>
    <t xml:space="preserve">Telangana govt, CoinSwitch Kuber launch India Blockchain Accelerator</t>
  </si>
  <si>
    <t xml:space="preserve">https://telanganatoday.com/telangana-govt-coinswitch-kuber-launch-india-blockchain-accelerator</t>
  </si>
  <si>
    <t xml:space="preserve">We Will Set Up Blockchain City In TG: Sridhar Babu</t>
  </si>
  <si>
    <t xml:space="preserve">https://www.bizzbuzz.news/State/Telangana/we-will-set-up-blockchain-city-in-tg-sridhar-babu-1347639</t>
  </si>
  <si>
    <t xml:space="preserve">Mahindra Group (press release)</t>
  </si>
  <si>
    <t xml:space="preserve">2020-02-19</t>
  </si>
  <si>
    <t xml:space="preserve">Telangana Government and Tech Mahindra Collaborate to Launch 'Blockchain District Accelerator Program'</t>
  </si>
  <si>
    <t xml:space="preserve">https://www.mahindra.com/news-room/press-release/en/telangana-government-and-tech-mahindra-collaborate-to-launch-blockchain-district-accelerator-program</t>
  </si>
  <si>
    <t xml:space="preserve">W167</t>
  </si>
  <si>
    <t xml:space="preserve">Business Standard / PTI</t>
  </si>
  <si>
    <t xml:space="preserve">Telangana govt, Tech Mahindra to launch blockchain district accelerator programme (PTI)</t>
  </si>
  <si>
    <t xml:space="preserve">https://www.business-standard.com/article/pti-stories/telangana-govt-tech-mahindra-to-launch-blockchain-district-accelerator-programme-120021901177_1.html</t>
  </si>
  <si>
    <t xml:space="preserve">CryptoNinjas</t>
  </si>
  <si>
    <t xml:space="preserve">2020-06-11</t>
  </si>
  <si>
    <t xml:space="preserve">Telangana Blockchain District's accelerator program shortlists first cohort of 30 startups</t>
  </si>
  <si>
    <t xml:space="preserve">https://www.cryptoninjas.net/2020/06/11/telangana-blockchain-districts-accelerator-program-shortlists-first-cohort-of-30-startups/</t>
  </si>
  <si>
    <t xml:space="preserve">W169</t>
  </si>
  <si>
    <t xml:space="preserve">ITVoice</t>
  </si>
  <si>
    <t xml:space="preserve">2020-06-13</t>
  </si>
  <si>
    <t xml:space="preserve">T-Block Accelerator under the Telangana Blockchain District announces names of 30 shortlisted startups</t>
  </si>
  <si>
    <t xml:space="preserve">https://www.itvoice.in/t-block-accelerator-under-the-telangana-blockchain-district-announces-names-of-30-shortlisted-startups-for-intensive-start-up-training-program</t>
  </si>
  <si>
    <t xml:space="preserve">AP, Telangana Governments Leveraging Blockchain For E-governance</t>
  </si>
  <si>
    <t xml:space="preserve">https://inc42.com/buzz/blockchain-government/</t>
  </si>
  <si>
    <t xml:space="preserve">MeitY, Government of India (hosted by Office of PSA)</t>
  </si>
  <si>
    <t xml:space="preserve">National Strategy on Blockchain</t>
  </si>
  <si>
    <t xml:space="preserve">https://www.psa.gov.in/CMS/web/sites/default/files/psa_custom_files/National_BCT_Strategy%202021.pdf</t>
  </si>
  <si>
    <t xml:space="preserve">CryptoPotato</t>
  </si>
  <si>
    <t xml:space="preserve">2022-10-15</t>
  </si>
  <si>
    <t xml:space="preserve">India Police Launch Pilot Polygon-Based Complaint Registration Portal</t>
  </si>
  <si>
    <t xml:space="preserve">https://cryptopotato.com/india-police-launch-pilot-polygon-based-complaint-registration-portal/</t>
  </si>
  <si>
    <t xml:space="preserve">W173</t>
  </si>
  <si>
    <t xml:space="preserve">CoinDesk via Yahoo Finance</t>
  </si>
  <si>
    <t xml:space="preserve">2022-10-13</t>
  </si>
  <si>
    <t xml:space="preserve">Police Complaints in This Indian District Are Going on the Polygon Blockchain (CoinDesk)</t>
  </si>
  <si>
    <t xml:space="preserve">https://finance.yahoo.com/news/police-complaints-indian-district-going-132959366.html</t>
  </si>
  <si>
    <t xml:space="preserve">New Town Kolkata Development Authority explores NFTs for land records</t>
  </si>
  <si>
    <t xml:space="preserve">https://www.businesstoday.in/crypto/story/new-town-kolkata-development-authority-explores-nfts-for-land-records-337125-2022-06-10</t>
  </si>
  <si>
    <t xml:space="preserve">W175</t>
  </si>
  <si>
    <t xml:space="preserve">Forkast</t>
  </si>
  <si>
    <t xml:space="preserve">2023-07-05</t>
  </si>
  <si>
    <t xml:space="preserve">Airchains to release 500,000 NFTs for land ownership in Indian state</t>
  </si>
  <si>
    <t xml:space="preserve">https://forkast.news/airchains-nft-land-ownership-india/</t>
  </si>
  <si>
    <t xml:space="preserve">W176</t>
  </si>
  <si>
    <t xml:space="preserve">Indian state joins Airchains for NFT-based land ownership</t>
  </si>
  <si>
    <t xml:space="preserve">https://www.cryptotimes.io/2023/07/05/indian-state-joins-airchains-for-nft-based-land-ownership/</t>
  </si>
  <si>
    <t xml:space="preserve">How Web3 middleware startup Airchains is boosting public use of blockchain</t>
  </si>
  <si>
    <t xml:space="preserve">https://yourstory.com/the-decrypting-story/web3-middleware-startup-airchains-blockchain-use</t>
  </si>
  <si>
    <t xml:space="preserve">W178</t>
  </si>
  <si>
    <t xml:space="preserve">2022-06-17</t>
  </si>
  <si>
    <t xml:space="preserve">Kolkata's NFT property docs to Airtel's multiverse multiplex (paid partnership)</t>
  </si>
  <si>
    <t xml:space="preserve">https://www.thenewsminute.com/article/kolkata-s-nft-property-docs-airtel-s-multiverse-multiplex-165057</t>
  </si>
  <si>
    <t xml:space="preserve">W179</t>
  </si>
  <si>
    <t xml:space="preserve">New Town Kolkata Development Authority</t>
  </si>
  <si>
    <t xml:space="preserve">2025-05</t>
  </si>
  <si>
    <t xml:space="preserve">NKDA order: procedures and delegation arrangements in cases of mutation</t>
  </si>
  <si>
    <t xml:space="preserve">W180</t>
  </si>
  <si>
    <t xml:space="preserve">2018-09-12</t>
  </si>
  <si>
    <t xml:space="preserve">Blockchain This Week: West Bengal to use blockchain for issuing birth certificates</t>
  </si>
  <si>
    <t xml:space="preserve">LatestLY</t>
  </si>
  <si>
    <t xml:space="preserve">Bengal's first blockchained birth certificate issued to baby</t>
  </si>
  <si>
    <t xml:space="preserve">https://www.latestly.com/technology/bengals-first-blockchained-birth-certificate-issued-to-baby-what-are-digitalised-birth-records-549771.html/amp</t>
  </si>
  <si>
    <t xml:space="preserve">W182</t>
  </si>
  <si>
    <t xml:space="preserve">Government Blockchain Association</t>
  </si>
  <si>
    <t xml:space="preserve">2018-12-28</t>
  </si>
  <si>
    <t xml:space="preserve">GBA Blockchain Vital Records Project</t>
  </si>
  <si>
    <t xml:space="preserve">https://gbaglobal.org/blog/2018/12/28/gba-blockchain-vital-records-project/</t>
  </si>
  <si>
    <t xml:space="preserve">WEBEL (Govt of West Bengal)</t>
  </si>
  <si>
    <t xml:space="preserve">WEBEL Newsletter January 2019, page 31</t>
  </si>
  <si>
    <t xml:space="preserve">The420.in</t>
  </si>
  <si>
    <t xml:space="preserve">2023-01-30</t>
  </si>
  <si>
    <t xml:space="preserve">Delhi Govt becomes first in India to introduce blockchain in forensics to aid crime investigations</t>
  </si>
  <si>
    <t xml:space="preserve">https://the420.in/delhi-govt-becomes-first-in-india-to-introduce-blockchain-in-forensics-to-aid-crime-investigations/</t>
  </si>
  <si>
    <t xml:space="preserve">W185</t>
  </si>
  <si>
    <t xml:space="preserve">VARINDIA</t>
  </si>
  <si>
    <t xml:space="preserve">Delhi govt introduces blockchain in forensics</t>
  </si>
  <si>
    <t xml:space="preserve">https://www.varindia.com/news/delhi-govt-introduces-blockchain-in-forensics</t>
  </si>
  <si>
    <t xml:space="preserve">W186</t>
  </si>
  <si>
    <t xml:space="preserve">2023-08-25</t>
  </si>
  <si>
    <t xml:space="preserve">CoinGeek tag page: Forensic Science Laboratory (items dated 31 Jan 2023 and 25 Aug 2023)</t>
  </si>
  <si>
    <t xml:space="preserve">https://coingeek.com/news/tag/forensic-science-laboratory</t>
  </si>
  <si>
    <t xml:space="preserve">W187</t>
  </si>
  <si>
    <t xml:space="preserve">Delhi uses blockchain to track forensic chain of custody</t>
  </si>
  <si>
    <t xml:space="preserve">https://www.ledgerinsights.com/blockchain-track-forensic-custody-delhi/</t>
  </si>
  <si>
    <t xml:space="preserve">Delhi takes a technological leap in forensic science by blockchain (mirror of Oct 2023 item)</t>
  </si>
  <si>
    <t xml:space="preserve">https://informaticsweb.nic.in/informaticswebnewhtml/delhi-takes-a-technological-leap-in-forensic-science-by-blockchain.php</t>
  </si>
  <si>
    <t xml:space="preserve">W189</t>
  </si>
  <si>
    <t xml:space="preserve">2023-07</t>
  </si>
  <si>
    <t xml:space="preserve">From the States: Puducherry UT (Informatics, July 2023)</t>
  </si>
  <si>
    <t xml:space="preserve">https://informatics.nic.in/uploads/pdfs/d6e80662_10_15_fts_puducherry.pdf</t>
  </si>
  <si>
    <t xml:space="preserve">W190</t>
  </si>
  <si>
    <t xml:space="preserve">Dept of Civil Supplies &amp; Consumer Affairs, Puducherry (NIC UT Unit)</t>
  </si>
  <si>
    <t xml:space="preserve">Civil Supplies &amp; Consumer Affairs Puducherry - View Ration Card Certificate (Block Chain)</t>
  </si>
  <si>
    <t xml:space="preserve">https://pdsswo.py.gov.in/Helpdesk/RationCardBC_Certificate.aspx</t>
  </si>
  <si>
    <t xml:space="preserve">NIC Informatics</t>
  </si>
  <si>
    <t xml:space="preserve">From the States: Karnataka - Taking the governance to the doorsteps of citizens</t>
  </si>
  <si>
    <t xml:space="preserve">https://informatics.nic.in/files/websites/april-2024/karnataka.php</t>
  </si>
  <si>
    <t xml:space="preserve">eCommittee, Supreme Court of India (hosted by Rajasthan High Court)</t>
  </si>
  <si>
    <t xml:space="preserve">2026-03</t>
  </si>
  <si>
    <t xml:space="preserve">eCommittee Newsletter, March 2026 (item: High Court of Karnataka - Use of Blockchain Technology in Judiciary)</t>
  </si>
  <si>
    <t xml:space="preserve">https://hcraj.nic.in/hcraj/eCommitteeNewsletter/eCommitteeNewsletter_March2026.pdf</t>
  </si>
  <si>
    <t xml:space="preserve">W193</t>
  </si>
  <si>
    <t xml:space="preserve">Devdiscourse</t>
  </si>
  <si>
    <t xml:space="preserve">2026-08-04</t>
  </si>
  <si>
    <t xml:space="preserve">DDU-GKY 2.0 Pushes Digital Reforms to Boost Rural Skill Training</t>
  </si>
  <si>
    <t xml:space="preserve">https://www.devdiscourse.com/article/law-order/3959539-ddu-gky-20-pushes-digital-reforms-to-boost-rural-skill-training</t>
  </si>
  <si>
    <t xml:space="preserve">W194</t>
  </si>
  <si>
    <t xml:space="preserve">The Morung Express (IANS)</t>
  </si>
  <si>
    <t xml:space="preserve">2026-09-19</t>
  </si>
  <si>
    <t xml:space="preserve">Ministry of Rural Development to begin DDU-GKY 2.0 training batches in Oct</t>
  </si>
  <si>
    <t xml:space="preserve">https://morungexpress.com/ministry-of-rural-development-to-begin-ddugky-20-training-batches-in-oct</t>
  </si>
  <si>
    <t xml:space="preserve">W195</t>
  </si>
  <si>
    <t xml:space="preserve">Apparel Resources</t>
  </si>
  <si>
    <t xml:space="preserve">2023-10-21</t>
  </si>
  <si>
    <t xml:space="preserve">Branding &amp; traceability leveraging blockchain technology will promote India's branded cotton</t>
  </si>
  <si>
    <t xml:space="preserve">https://apparelresources.com/business-news/sustainability/branding-traceability-leveraging-blockchain-technology-will-promote-indias-branded-cotton/</t>
  </si>
  <si>
    <t xml:space="preserve">W196</t>
  </si>
  <si>
    <t xml:space="preserve">Textalks</t>
  </si>
  <si>
    <t xml:space="preserve">2023-10-10</t>
  </si>
  <si>
    <t xml:space="preserve">India launches Cotton Bale Identification &amp; Traceability System</t>
  </si>
  <si>
    <t xml:space="preserve">https://textalks.com/india-launches-cotton-bale-identification-traceability-system/</t>
  </si>
  <si>
    <t xml:space="preserve">W197</t>
  </si>
  <si>
    <t xml:space="preserve">Home Textiles Today</t>
  </si>
  <si>
    <t xml:space="preserve">2024-09-24</t>
  </si>
  <si>
    <t xml:space="preserve">Premium Indian cotton brand is branching out</t>
  </si>
  <si>
    <t xml:space="preserve">https://www.hometextilestoday.com/textiles/premium-indian-cotton-brand-is-branching-out</t>
  </si>
  <si>
    <t xml:space="preserve">W198</t>
  </si>
  <si>
    <t xml:space="preserve">TEXPROCIL</t>
  </si>
  <si>
    <t xml:space="preserve">2025-01-06</t>
  </si>
  <si>
    <t xml:space="preserve">E-Serve No. 5 of 2025: Kasturi Cotton introduces new staple lengths to meet market demand</t>
  </si>
  <si>
    <t xml:space="preserve">https://texprocil.org/circular/1736160971-Eserve-5_of_2025.pdf</t>
  </si>
  <si>
    <t xml:space="preserve">Ecotextile News</t>
  </si>
  <si>
    <t xml:space="preserve">Blockchain to lift India's premium cotton brand</t>
  </si>
  <si>
    <t xml:space="preserve">https://www.ecotextile.com/2026080664705/news/shows-events/blockchain-to-lift-indias-premium-cotton-brand/</t>
  </si>
  <si>
    <t xml:space="preserve">W200</t>
  </si>
  <si>
    <t xml:space="preserve">2023-06-26</t>
  </si>
  <si>
    <t xml:space="preserve">Haryana will give digital certificates to 5 lakh students with the blockchain tech</t>
  </si>
  <si>
    <t xml:space="preserve">https://www.dailypioneer.com/2023/state-editions/haryana-will-give-digital-certificates-to-5-lakh-students-with-the-blockchain-tech.html</t>
  </si>
  <si>
    <t xml:space="preserve">From the States: Karnataka (Informatics, April 2021, pp. 7-11)</t>
  </si>
  <si>
    <t xml:space="preserve">https://informatics.nic.in/uploads/pdfs/cc51d430_07_11_fts_karnataka_compressed.pdf</t>
  </si>
  <si>
    <t xml:space="preserve">W202</t>
  </si>
  <si>
    <t xml:space="preserve">Maritime Gateway</t>
  </si>
  <si>
    <t xml:space="preserve">https://www.maritimegateway.com/government-launches-vishvasya-blockchain-technology-stack/</t>
  </si>
  <si>
    <t xml:space="preserve">W203</t>
  </si>
  <si>
    <t xml:space="preserve">OpenGov Asia</t>
  </si>
  <si>
    <t xml:space="preserve">India unveils blockchain stack, transforms digital services</t>
  </si>
  <si>
    <t xml:space="preserve">https://archive.opengovasia.com/2024/09/05/india-unveils-blockchain-stack-transforms-digital-services/</t>
  </si>
  <si>
    <t xml:space="preserve">W204</t>
  </si>
  <si>
    <t xml:space="preserve">2026-01-14</t>
  </si>
  <si>
    <t xml:space="preserve">MUHS To Introduce Blockchain-Based Academic Certificates To Prevent Forgery In Medical Education</t>
  </si>
  <si>
    <t xml:space="preserve">https://www.freepressjournal.in/amp/mumbai/muhs-to-introduce-blockchain-based-academic-certificates-to-prevent-forgery-in-medical-education</t>
  </si>
  <si>
    <t xml:space="preserve">W205</t>
  </si>
  <si>
    <t xml:space="preserve">2019-11-27</t>
  </si>
  <si>
    <t xml:space="preserve">Govt Working On National Level Blockchain Framework: MeitY</t>
  </si>
  <si>
    <t xml:space="preserve">https://inc42.com/buzz/govt-working-on-national-level-blockchain-framework-meity</t>
  </si>
  <si>
    <t xml:space="preserve">energetica-india.net</t>
  </si>
  <si>
    <t xml:space="preserve">(title not recorded)</t>
  </si>
  <si>
    <t xml:space="preserve">https://www.energetica-india.net/news/uperc-extends-interstate-p2p-renewable-energy-trading-pilot-to-march-2027</t>
  </si>
  <si>
    <t xml:space="preserve">role</t>
  </si>
  <si>
    <t xml:space="preserve">citation</t>
  </si>
  <si>
    <t xml:space="preserve">additional</t>
  </si>
  <si>
    <t xml:space="preserve">event evidence</t>
  </si>
  <si>
    <t xml:space="preserve">challenge evidence</t>
  </si>
  <si>
    <t xml:space="preserve">snapshot_date</t>
  </si>
  <si>
    <t xml:space="preserve">level</t>
  </si>
  <si>
    <t xml:space="preserve">application</t>
  </si>
  <si>
    <t xml:space="preserve">chain_product</t>
  </si>
  <si>
    <t xml:space="preserve">unit</t>
  </si>
  <si>
    <t xml:space="preserve">unit_as_published</t>
  </si>
  <si>
    <t xml:space="preserve">metric</t>
  </si>
  <si>
    <t xml:space="preserve">value</t>
  </si>
  <si>
    <t xml:space="preserve">departments</t>
  </si>
  <si>
    <t xml:space="preserve">documents</t>
  </si>
  <si>
    <t xml:space="preserve">organisations_states</t>
  </si>
  <si>
    <t xml:space="preserve">products</t>
  </si>
  <si>
    <t xml:space="preserve">Central Board of Secondary Education</t>
  </si>
  <si>
    <t xml:space="preserve">Certificate Chain</t>
  </si>
  <si>
    <t xml:space="preserve">Drug logistics</t>
  </si>
  <si>
    <t xml:space="preserve">Logistics Chain</t>
  </si>
  <si>
    <t xml:space="preserve">SSLC &amp; PUC</t>
  </si>
  <si>
    <t xml:space="preserve">department</t>
  </si>
  <si>
    <t xml:space="preserve">application total (single department)</t>
  </si>
  <si>
    <t xml:space="preserve">Chhattisgarh – Indira Gandhi Krishi Vishwavidyalaya, Raipur</t>
  </si>
  <si>
    <t xml:space="preserve">Manipur – Council of Higher Secondary Education</t>
  </si>
  <si>
    <t xml:space="preserve">Manipur – Council of Higher Secondary Education Manipur</t>
  </si>
  <si>
    <t xml:space="preserve">Andhra Pradesh – Water Resources Department</t>
  </si>
  <si>
    <t xml:space="preserve">Andhra Pradesh – Water Resource Department</t>
  </si>
  <si>
    <t xml:space="preserve">Delhi – Revenue Department</t>
  </si>
  <si>
    <t xml:space="preserve">Karnataka – Directorate of Economics &amp; Statistics</t>
  </si>
  <si>
    <t xml:space="preserve">Karnataka – Directorate of economics and statistics</t>
  </si>
  <si>
    <t xml:space="preserve">Karnataka – Revenue Department</t>
  </si>
  <si>
    <t xml:space="preserve">Ministry of Consumer Affairs – Department of Consumer Affairs</t>
  </si>
  <si>
    <t xml:space="preserve">Puducherry – Department of Civil Supplies &amp; Consumer Affairs</t>
  </si>
  <si>
    <t xml:space="preserve">Puducherry – Department of Civil Supplies and Consumer Affairs</t>
  </si>
  <si>
    <t xml:space="preserve">Puducherry – Revenue Department</t>
  </si>
  <si>
    <t xml:space="preserve">Karnataka – State Medical Supplies Corporation Ltd</t>
  </si>
  <si>
    <t xml:space="preserve">Ministry of Law &amp; Justice – Supreme Court of India</t>
  </si>
  <si>
    <t xml:space="preserve">Ministry of Justice – Supreme Court</t>
  </si>
  <si>
    <t xml:space="preserve">Jharkhand – Department of Revenue</t>
  </si>
  <si>
    <t xml:space="preserve">Karnataka – City Corporation</t>
  </si>
  <si>
    <t xml:space="preserve">Karnataka – Town Municipal Council</t>
  </si>
  <si>
    <t xml:space="preserve">Not matched to a project row (no Puducherry property-chain project found; 4 documents).</t>
  </si>
  <si>
    <t xml:space="preserve">Karnataka – School Examination and Assessment Board</t>
  </si>
  <si>
    <t xml:space="preserve">2025-12-14</t>
  </si>
  <si>
    <t xml:space="preserve">Dashboard tiles shown in presentation slides (as on 14-12-2025)</t>
  </si>
  <si>
    <t xml:space="preserve">pocs</t>
  </si>
  <si>
    <t xml:space="preserve">verifications_total</t>
  </si>
  <si>
    <t xml:space="preserve">verifications_current_month</t>
  </si>
  <si>
    <t xml:space="preserve">month-to-date on the data date Dashboard lists these verifications under 'Karnataka Examination Authority' (labelling quirk).</t>
  </si>
  <si>
    <t xml:space="preserve">Dashboard lists these verifications under 'Karnataka Examination Authority' (labelling quirk).</t>
  </si>
  <si>
    <t xml:space="preserve">month-to-date on the data date</t>
  </si>
  <si>
    <t xml:space="preserve">Maharashtra – Maharashtra University of Health Sciences</t>
  </si>
  <si>
    <t xml:space="preserve">Maharashtra – State Board of Nursing &amp; Paramedical Education</t>
  </si>
  <si>
    <t xml:space="preserve">Maharashtra – General Administration Department</t>
  </si>
  <si>
    <t xml:space="preserve">Ministry of Consumer Affairs – Dept of Consumer Affairs</t>
  </si>
  <si>
    <t xml:space="preserve">Puducherry – Dept of Civil Supplies &amp; Consumer Affairs</t>
  </si>
  <si>
    <t xml:space="preserve">Uttarakhand – Department of IT, Good Governance &amp; Science and Technology</t>
  </si>
  <si>
    <t xml:space="preserve">Uttarakhand – Dept of IT, Good Governance &amp; S&amp;T</t>
  </si>
  <si>
    <t xml:space="preserve">Karnataka – Karnataka State Medical Supplies Corporation Ltd</t>
  </si>
  <si>
    <t xml:space="preserve">ICJS Chain</t>
  </si>
  <si>
    <t xml:space="preserve">Ministry of Law &amp; Justice – High Court of Karnataka</t>
  </si>
  <si>
    <t xml:space="preserve">Ministry of Justice – High Court of Karnataka</t>
  </si>
  <si>
    <t xml:space="preserve">Andhra Pradesh – Department of Revenue</t>
  </si>
  <si>
    <t xml:space="preserve">Andhra Pradesh – Department of Survey</t>
  </si>
  <si>
    <t xml:space="preserve">Karnataka – Karnataka School Examination and Assessment Board</t>
  </si>
  <si>
    <t xml:space="preserve">Listed on the dashboard under 'Karnataka Examination Authority' (labelling quirk); value equals the CBSE verification total.</t>
  </si>
  <si>
    <t xml:space="preserve">Maharashtra – Maharashtra University Health Sciences</t>
  </si>
  <si>
    <t xml:space="preserve">Maharashtra – MAHARASHTRA STATE BOARD OF NURSING AND PARAMEDICAL EDUCATION</t>
  </si>
  <si>
    <t xml:space="preserve">Maharashtra – General Administrative Department</t>
  </si>
  <si>
    <t xml:space="preserve">Uttarakhand – Department of IT, Good Governance &amp; Science and Technology, Government of Uttarakhand</t>
  </si>
  <si>
    <t xml:space="preserve">name</t>
  </si>
  <si>
    <t xml:space="preserve">type</t>
  </si>
  <si>
    <t xml:space="preserve">parent_id</t>
  </si>
  <si>
    <t xml:space="preserve">search_result</t>
  </si>
  <si>
    <t xml:space="preserve">search_note</t>
  </si>
  <si>
    <t xml:space="preserve">last_searched</t>
  </si>
  <si>
    <t xml:space="preserve">projects (live formula)</t>
  </si>
  <si>
    <t xml:space="preserve">implemented (live formula)</t>
  </si>
  <si>
    <t xml:space="preserve">India</t>
  </si>
  <si>
    <t xml:space="preserve">Country</t>
  </si>
  <si>
    <t xml:space="preserve">Union-level and national bodies (Union ministries, regulators, courts, statutory bodies, PSUs)</t>
  </si>
  <si>
    <t xml:space="preserve">Active projects</t>
  </si>
  <si>
    <t xml:space="preserve">IN-AR</t>
  </si>
  <si>
    <t xml:space="preserve">Arunachal Pradesh</t>
  </si>
  <si>
    <t xml:space="preserve">12</t>
  </si>
  <si>
    <t xml:space="preserve">No project found</t>
  </si>
  <si>
    <t xml:space="preserve">Searched – no govt blockchain project found (2024 eBook: early-stage awareness only)</t>
  </si>
  <si>
    <t xml:space="preserve">Pilot completed only</t>
  </si>
  <si>
    <t xml:space="preserve">2024 eBook also notes an IT Dept blockchain workshop</t>
  </si>
  <si>
    <t xml:space="preserve">Only planned / unclear</t>
  </si>
  <si>
    <t xml:space="preserve">Central rows: NITI fertilizer pilot (GNFC); CBDC food-subsidy DBT (Feb 2026)</t>
  </si>
  <si>
    <t xml:space="preserve">Only an unverified NITI apple pilot (eBook); July 2026 land guidelines do not mention blockchain</t>
  </si>
  <si>
    <t xml:space="preserve">Central rows: Judiciary Chain at High Court of Karnataka; NIC CoE is in Bengaluru</t>
  </si>
  <si>
    <t xml:space="preserve">NBF node at NIC Pune</t>
  </si>
  <si>
    <t xml:space="preserve">IN-MZ</t>
  </si>
  <si>
    <t xml:space="preserve">Mizoram</t>
  </si>
  <si>
    <t xml:space="preserve">15</t>
  </si>
  <si>
    <t xml:space="preserve">Searched – no govt blockchain project found</t>
  </si>
  <si>
    <t xml:space="preserve">IN-NL</t>
  </si>
  <si>
    <t xml:space="preserve">Nagaland</t>
  </si>
  <si>
    <t xml:space="preserve">13</t>
  </si>
  <si>
    <t xml:space="preserve">NBF node at NIC Bhubaneswar</t>
  </si>
  <si>
    <t xml:space="preserve">IN-SK</t>
  </si>
  <si>
    <t xml:space="preserve">Sikkim</t>
  </si>
  <si>
    <t xml:space="preserve">11</t>
  </si>
  <si>
    <t xml:space="preserve">NBF node at NIC Hyderabad</t>
  </si>
  <si>
    <t xml:space="preserve">UP draft blockchain policy 2018 (policy)</t>
  </si>
  <si>
    <t xml:space="preserve">NIC WB 'State at a glance' (Oct 2025) lists no blockchain apps; WB Blockchain Promotion Guidelines 2020 (policy)</t>
  </si>
  <si>
    <t xml:space="preserve">IN-AN</t>
  </si>
  <si>
    <t xml:space="preserve">Andaman and Nicobar Islands</t>
  </si>
  <si>
    <t xml:space="preserve">35</t>
  </si>
  <si>
    <t xml:space="preserve">IN-CH</t>
  </si>
  <si>
    <t xml:space="preserve">Chandigarh</t>
  </si>
  <si>
    <t xml:space="preserve">4</t>
  </si>
  <si>
    <t xml:space="preserve">Only central CBDC pilot</t>
  </si>
  <si>
    <t xml:space="preserve">No own blockchain project found. Central row: CBDC food-subsidy DBT rolled out 14 Aug 2026</t>
  </si>
  <si>
    <t xml:space="preserve">IN-DH</t>
  </si>
  <si>
    <t xml:space="preserve">Dadra and Nagar Haveli and Daman and Diu</t>
  </si>
  <si>
    <t xml:space="preserve">38</t>
  </si>
  <si>
    <t xml:space="preserve">DOVE domicile-certificate verification (C-DAC, MeitY success story); a land-registry claim remains unverified.</t>
  </si>
  <si>
    <t xml:space="preserve">IN-LA</t>
  </si>
  <si>
    <t xml:space="preserve">Ladakh</t>
  </si>
  <si>
    <t xml:space="preserve">37</t>
  </si>
  <si>
    <t xml:space="preserve">Searched – no blockchain project found (official e-gov page has none)</t>
  </si>
  <si>
    <t xml:space="preserve">IN-LD</t>
  </si>
  <si>
    <t xml:space="preserve">Lakshadweep</t>
  </si>
  <si>
    <t xml:space="preserve">31</t>
  </si>
  <si>
    <t xml:space="preserve">Central row: CBDC food-subsidy DBT pilot (26 Feb 2026, PIB)</t>
  </si>
  <si>
    <t xml:space="preserve">body_id</t>
  </si>
  <si>
    <t xml:space="preserve">body_type</t>
  </si>
  <si>
    <t xml:space="preserve">parent</t>
  </si>
  <si>
    <t xml:space="preserve">ORG001</t>
  </si>
  <si>
    <t xml:space="preserve">Ministry</t>
  </si>
  <si>
    <t xml:space="preserve">Central ministry / dept</t>
  </si>
  <si>
    <t xml:space="preserve">ORG002</t>
  </si>
  <si>
    <t xml:space="preserve">ORG003</t>
  </si>
  <si>
    <t xml:space="preserve">ORG004</t>
  </si>
  <si>
    <t xml:space="preserve">Attached office</t>
  </si>
  <si>
    <t xml:space="preserve">ORG005</t>
  </si>
  <si>
    <t xml:space="preserve">ORG006</t>
  </si>
  <si>
    <t xml:space="preserve">Constitutional court</t>
  </si>
  <si>
    <t xml:space="preserve">ORG007</t>
  </si>
  <si>
    <t xml:space="preserve">Ministry + High Court</t>
  </si>
  <si>
    <t xml:space="preserve">ORG008</t>
  </si>
  <si>
    <t xml:space="preserve">ORG009</t>
  </si>
  <si>
    <t xml:space="preserve">ORG010</t>
  </si>
  <si>
    <t xml:space="preserve">ORG011</t>
  </si>
  <si>
    <t xml:space="preserve">ORG012</t>
  </si>
  <si>
    <t xml:space="preserve">ORG013</t>
  </si>
  <si>
    <t xml:space="preserve">ORG014</t>
  </si>
  <si>
    <t xml:space="preserve">ORG015</t>
  </si>
  <si>
    <t xml:space="preserve">Policy think tank</t>
  </si>
  <si>
    <t xml:space="preserve">ORG016</t>
  </si>
  <si>
    <t xml:space="preserve">State department</t>
  </si>
  <si>
    <t xml:space="preserve">ORG017</t>
  </si>
  <si>
    <t xml:space="preserve">ORG018</t>
  </si>
  <si>
    <t xml:space="preserve">ORG019</t>
  </si>
  <si>
    <t xml:space="preserve">ORG020</t>
  </si>
  <si>
    <t xml:space="preserve">State government</t>
  </si>
  <si>
    <t xml:space="preserve">ORG021</t>
  </si>
  <si>
    <t xml:space="preserve">ORG022</t>
  </si>
  <si>
    <t xml:space="preserve">ORG023</t>
  </si>
  <si>
    <t xml:space="preserve">ORG024</t>
  </si>
  <si>
    <t xml:space="preserve">State body</t>
  </si>
  <si>
    <t xml:space="preserve">ORG025</t>
  </si>
  <si>
    <t xml:space="preserve">State agency</t>
  </si>
  <si>
    <t xml:space="preserve">ORG026</t>
  </si>
  <si>
    <t xml:space="preserve">ORG027</t>
  </si>
  <si>
    <t xml:space="preserve">State university</t>
  </si>
  <si>
    <t xml:space="preserve">ORG028</t>
  </si>
  <si>
    <t xml:space="preserve">ORG029</t>
  </si>
  <si>
    <t xml:space="preserve">ORG030</t>
  </si>
  <si>
    <t xml:space="preserve">ORG031</t>
  </si>
  <si>
    <t xml:space="preserve">ORG032</t>
  </si>
  <si>
    <t xml:space="preserve">State board</t>
  </si>
  <si>
    <t xml:space="preserve">ORG033</t>
  </si>
  <si>
    <t xml:space="preserve">State + central</t>
  </si>
  <si>
    <t xml:space="preserve">ORG034</t>
  </si>
  <si>
    <t xml:space="preserve">ORG035</t>
  </si>
  <si>
    <t xml:space="preserve">ORG036</t>
  </si>
  <si>
    <t xml:space="preserve">ORG037</t>
  </si>
  <si>
    <t xml:space="preserve">State PSU</t>
  </si>
  <si>
    <t xml:space="preserve">ORG038</t>
  </si>
  <si>
    <t xml:space="preserve">ORG039</t>
  </si>
  <si>
    <t xml:space="preserve">ORG040</t>
  </si>
  <si>
    <t xml:space="preserve">ORG041</t>
  </si>
  <si>
    <t xml:space="preserve">ORG042</t>
  </si>
  <si>
    <t xml:space="preserve">ORG043</t>
  </si>
  <si>
    <t xml:space="preserve">ORG044</t>
  </si>
  <si>
    <t xml:space="preserve">ORG045</t>
  </si>
  <si>
    <t xml:space="preserve">State institution</t>
  </si>
  <si>
    <t xml:space="preserve">ORG046</t>
  </si>
  <si>
    <t xml:space="preserve">ORG047</t>
  </si>
  <si>
    <t xml:space="preserve">ORG048</t>
  </si>
  <si>
    <t xml:space="preserve">ORG049</t>
  </si>
  <si>
    <t xml:space="preserve">ORG050</t>
  </si>
  <si>
    <t xml:space="preserve">ORG051</t>
  </si>
  <si>
    <t xml:space="preserve">State society</t>
  </si>
  <si>
    <t xml:space="preserve">ORG052</t>
  </si>
  <si>
    <t xml:space="preserve">ORG053</t>
  </si>
  <si>
    <t xml:space="preserve">ORG054</t>
  </si>
  <si>
    <t xml:space="preserve">ORG055</t>
  </si>
  <si>
    <t xml:space="preserve">ORG056</t>
  </si>
  <si>
    <t xml:space="preserve">ORG057</t>
  </si>
  <si>
    <t xml:space="preserve">ORG058</t>
  </si>
  <si>
    <t xml:space="preserve">ORG059</t>
  </si>
  <si>
    <t xml:space="preserve">ORG060</t>
  </si>
  <si>
    <t xml:space="preserve">ORG061</t>
  </si>
  <si>
    <t xml:space="preserve">ORG062</t>
  </si>
  <si>
    <t xml:space="preserve">ORG063</t>
  </si>
  <si>
    <t xml:space="preserve">ORG064</t>
  </si>
  <si>
    <t xml:space="preserve">ORG065</t>
  </si>
  <si>
    <t xml:space="preserve">ORG066</t>
  </si>
  <si>
    <t xml:space="preserve">ORG067</t>
  </si>
  <si>
    <t xml:space="preserve">ORG068</t>
  </si>
  <si>
    <t xml:space="preserve">ORG069</t>
  </si>
  <si>
    <t xml:space="preserve">ORG070</t>
  </si>
  <si>
    <t xml:space="preserve">ORG071</t>
  </si>
  <si>
    <t xml:space="preserve">ORG072</t>
  </si>
  <si>
    <t xml:space="preserve">ORG073</t>
  </si>
  <si>
    <t xml:space="preserve">ORG074</t>
  </si>
  <si>
    <t xml:space="preserve">ORG075</t>
  </si>
  <si>
    <t xml:space="preserve">ORG076</t>
  </si>
  <si>
    <t xml:space="preserve">ORG077</t>
  </si>
  <si>
    <t xml:space="preserve">ORG078</t>
  </si>
  <si>
    <t xml:space="preserve">ORG079</t>
  </si>
  <si>
    <t xml:space="preserve">ORG080</t>
  </si>
  <si>
    <t xml:space="preserve">State PSUs / regulator</t>
  </si>
  <si>
    <t xml:space="preserve">ORG081</t>
  </si>
  <si>
    <t xml:space="preserve">State regulator / PSU</t>
  </si>
  <si>
    <t xml:space="preserve">ORG082</t>
  </si>
  <si>
    <t xml:space="preserve">ORG083</t>
  </si>
  <si>
    <t xml:space="preserve">ORG084</t>
  </si>
  <si>
    <t xml:space="preserve">Development authority</t>
  </si>
  <si>
    <t xml:space="preserve">ORG085</t>
  </si>
  <si>
    <t xml:space="preserve">ORG086</t>
  </si>
  <si>
    <t xml:space="preserve">UT department</t>
  </si>
  <si>
    <t xml:space="preserve">ORG087</t>
  </si>
  <si>
    <t xml:space="preserve">ORG088</t>
  </si>
  <si>
    <t xml:space="preserve">ORG089</t>
  </si>
  <si>
    <t xml:space="preserve">ORG090</t>
  </si>
  <si>
    <t xml:space="preserve">ORG091</t>
  </si>
  <si>
    <t xml:space="preserve">ORG092</t>
  </si>
  <si>
    <t xml:space="preserve">Regulator</t>
  </si>
  <si>
    <t xml:space="preserve">ORG093</t>
  </si>
  <si>
    <t xml:space="preserve">ORG094</t>
  </si>
  <si>
    <t xml:space="preserve">ORG095</t>
  </si>
  <si>
    <t xml:space="preserve">ORG096</t>
  </si>
  <si>
    <t xml:space="preserve">ORG097</t>
  </si>
  <si>
    <t xml:space="preserve">ORG098</t>
  </si>
  <si>
    <t xml:space="preserve">ORG099</t>
  </si>
  <si>
    <t xml:space="preserve">ORG100</t>
  </si>
  <si>
    <t xml:space="preserve">ORG101</t>
  </si>
  <si>
    <t xml:space="preserve">ORG102</t>
  </si>
  <si>
    <t xml:space="preserve">Govt-backed foundation</t>
  </si>
  <si>
    <t xml:space="preserve">Agency / foundation</t>
  </si>
  <si>
    <t xml:space="preserve">ORG103</t>
  </si>
  <si>
    <t xml:space="preserve">Statutory board &amp; subsidiary</t>
  </si>
  <si>
    <t xml:space="preserve">Statutory / autonomous body</t>
  </si>
  <si>
    <t xml:space="preserve">ORG104</t>
  </si>
  <si>
    <t xml:space="preserve">PSU</t>
  </si>
  <si>
    <t xml:space="preserve">ORG105</t>
  </si>
  <si>
    <t xml:space="preserve">Autonomous board</t>
  </si>
  <si>
    <t xml:space="preserve">ORG106</t>
  </si>
  <si>
    <t xml:space="preserve">Central institute</t>
  </si>
  <si>
    <t xml:space="preserve">ORG107</t>
  </si>
  <si>
    <t xml:space="preserve">Statutory board</t>
  </si>
  <si>
    <t xml:space="preserve">ORG108</t>
  </si>
  <si>
    <t xml:space="preserve">ORG109</t>
  </si>
  <si>
    <t xml:space="preserve">PSU / statutory bodies</t>
  </si>
  <si>
    <t xml:space="preserve">ORG110</t>
  </si>
  <si>
    <t xml:space="preserve">Agency</t>
  </si>
  <si>
    <t xml:space="preserve">vocabulary</t>
  </si>
  <si>
    <t xml:space="preserve">code</t>
  </si>
  <si>
    <t xml:space="preserve">label</t>
  </si>
  <si>
    <t xml:space="preserve">definition</t>
  </si>
  <si>
    <t xml:space="preserve">maps_to</t>
  </si>
  <si>
    <t xml:space="preserve">In production use with real users, documents or transactions, per the latest dated source.</t>
  </si>
  <si>
    <t xml:space="preserve">Development, procurement or a pilot is under way.</t>
  </si>
  <si>
    <t xml:space="preserve">Announced, approved or planned; no pilot or development evidenced yet.</t>
  </si>
  <si>
    <t xml:space="preserve">A pilot or proof of concept was reported finished, with no production rollout found.</t>
  </si>
  <si>
    <t xml:space="preserve">No public update found to establish the current stage. Not evidence of failure.</t>
  </si>
  <si>
    <t xml:space="preserve">A source explicitly reports the project stopped or was replaced.</t>
  </si>
  <si>
    <t xml:space="preserve">Announced</t>
  </si>
  <si>
    <t xml:space="preserve">First public announcement, MoU, policy, tender or directive.</t>
  </si>
  <si>
    <t xml:space="preserve">Pilot started</t>
  </si>
  <si>
    <t xml:space="preserve">A pilot or proof of concept actually began.</t>
  </si>
  <si>
    <t xml:space="preserve">A pilot or proof of concept was reported finished.</t>
  </si>
  <si>
    <t xml:space="preserve">First production use or public launch (real users, documents or transactions). Some are "live by" dates: the earliest dated proof of use.</t>
  </si>
  <si>
    <t xml:space="preserve">Scaled</t>
  </si>
  <si>
    <t xml:space="preserve">A major expansion after going live.</t>
  </si>
  <si>
    <t xml:space="preserve">discontinued</t>
  </si>
  <si>
    <t xml:space="preserve">Explicitly stopped or replaced, per a source.</t>
  </si>
  <si>
    <t xml:space="preserve">Latest update</t>
  </si>
  <si>
    <t xml:space="preserve">The most recent dated public evidence about the project status.</t>
  </si>
  <si>
    <t xml:space="preserve">Interoperability &amp; integration with legacy or other systems</t>
  </si>
  <si>
    <t xml:space="preserve">TOE dimension: Technology. Suggested DOI attribute (analytical mapping, not empirical): Compatibility.</t>
  </si>
  <si>
    <t xml:space="preserve">Technology|Compatibility</t>
  </si>
  <si>
    <t xml:space="preserve">Scalability &amp; performance</t>
  </si>
  <si>
    <t xml:space="preserve">TOE dimension: Technology. Suggested DOI attribute (analytical mapping, not empirical): Complexity.</t>
  </si>
  <si>
    <t xml:space="preserve">Technology|Complexity</t>
  </si>
  <si>
    <t xml:space="preserve">Security &amp; privacy concerns</t>
  </si>
  <si>
    <t xml:space="preserve">TOE dimension: Technology. Suggested DOI attribute (analytical mapping, not empirical): Perceived risk (extension).</t>
  </si>
  <si>
    <t xml:space="preserve">Technology|Perceived risk (extension)</t>
  </si>
  <si>
    <t xml:space="preserve">Data quality / digitisation of legacy records</t>
  </si>
  <si>
    <t xml:space="preserve">Funding &amp; cost</t>
  </si>
  <si>
    <t xml:space="preserve">TOE dimension: Organisation. Suggested DOI attribute (analytical mapping, not empirical): Relative advantage.</t>
  </si>
  <si>
    <t xml:space="preserve">Organisation|Relative advantage</t>
  </si>
  <si>
    <t xml:space="preserve">Skills &amp; technical capacity</t>
  </si>
  <si>
    <t xml:space="preserve">TOE dimension: Organisation. Suggested DOI attribute (analytical mapping, not empirical): Complexity.</t>
  </si>
  <si>
    <t xml:space="preserve">Organisation|Complexity</t>
  </si>
  <si>
    <t xml:space="preserve">Vendor dependence / lock-in / partner exit</t>
  </si>
  <si>
    <t xml:space="preserve">TOE dimension: Organisation. Suggested DOI attribute (analytical mapping, not empirical): Perceived risk (extension).</t>
  </si>
  <si>
    <t xml:space="preserve">Organisation|Perceived risk (extension)</t>
  </si>
  <si>
    <t xml:space="preserve">Inter-departmental coordination &amp; governance / institutional ownership</t>
  </si>
  <si>
    <t xml:space="preserve">TOE dimension: Organisation. Suggested DOI attribute (analytical mapping, not empirical): Compatibility.</t>
  </si>
  <si>
    <t xml:space="preserve">Organisation|Compatibility</t>
  </si>
  <si>
    <t xml:space="preserve">Legal &amp; regulatory recognition</t>
  </si>
  <si>
    <t xml:space="preserve">TOE dimension: Environment. Suggested DOI attribute (analytical mapping, not empirical): Compatibility.</t>
  </si>
  <si>
    <t xml:space="preserve">Environment|Compatibility</t>
  </si>
  <si>
    <t xml:space="preserve">User adoption &amp; awareness</t>
  </si>
  <si>
    <t xml:space="preserve">TOE dimension: Environment. Suggested DOI attribute (analytical mapping, not empirical): Observability.</t>
  </si>
  <si>
    <t xml:space="preserve">Environment|Observability</t>
  </si>
  <si>
    <t xml:space="preserve">E3</t>
  </si>
  <si>
    <t xml:space="preserve">Policy discontinuity / political or leadership change</t>
  </si>
  <si>
    <t xml:space="preserve">TOE dimension: Environment. Suggested DOI attribute (analytical mapping, not empirical): —.</t>
  </si>
  <si>
    <t xml:space="preserve">Environment|—</t>
  </si>
  <si>
    <t xml:space="preserve">E4</t>
  </si>
  <si>
    <t xml:space="preserve">Ecosystem immaturity / lack of standards</t>
  </si>
  <si>
    <t xml:space="preserve">TOE dimension: Environment. Suggested DOI attribute (analytical mapping, not empirical): Trialability.</t>
  </si>
  <si>
    <t xml:space="preserve">Environment|Trialability</t>
  </si>
  <si>
    <t xml:space="preserve">tier</t>
  </si>
  <si>
    <t xml:space="preserve">Union ministries, departments and attached offices</t>
  </si>
  <si>
    <t xml:space="preserve">State and Union Territory departments, agencies, districts and municipal bodies</t>
  </si>
  <si>
    <t xml:space="preserve">Regulators, central bank, courts, Election Commission, statutory boards, PSUs, public institutes</t>
  </si>
  <si>
    <t xml:space="preserve">Author-defined policy domain</t>
  </si>
  <si>
    <t xml:space="preserve">COFOG 01 General public services</t>
  </si>
  <si>
    <t xml:space="preserve">COFOG 03 Public order and safety</t>
  </si>
  <si>
    <t xml:space="preserve">COFOG 04 Economic affairs</t>
  </si>
  <si>
    <t xml:space="preserve">COFOG 07 Health</t>
  </si>
  <si>
    <t xml:space="preserve">COFOG 09 Education</t>
  </si>
  <si>
    <t xml:space="preserve">COFOG 10 Social protection</t>
  </si>
  <si>
    <t xml:space="preserve">UN Classification of the Functions of Government (COFOG), division level; approximate, assigned from domain.</t>
  </si>
  <si>
    <t xml:space="preserve">Counts actual users, documents or transactions only; targets and budgets are not counted.</t>
  </si>
  <si>
    <t xml:space="preserve">Government-to-citizen</t>
  </si>
  <si>
    <t xml:space="preserve">Government-to-business</t>
  </si>
  <si>
    <t xml:space="preserve">Government-to-government</t>
  </si>
  <si>
    <t xml:space="preserve">Normalised platform</t>
  </si>
  <si>
    <t xml:space="preserve">Grouping of normalised platforms (see maps_to on platform)</t>
  </si>
  <si>
    <t xml:space="preserve">Built or hosted by NIC, C-DAC, NeGD or MeitY platforms</t>
  </si>
  <si>
    <t xml:space="preserve">Built by a State IT agency, corporation or society, with no external vendor named</t>
  </si>
  <si>
    <t xml:space="preserve">Built by a named private company or startup</t>
  </si>
  <si>
    <t xml:space="preserve">Built with an IIT, IIIT, IDRBT or a university academy</t>
  </si>
  <si>
    <t xml:space="preserve">Run by regulated entities (banks, depositories, telcos) under a regulator</t>
  </si>
  <si>
    <t xml:space="preserve">Several government, academic and industry partners with no single builder</t>
  </si>
  <si>
    <t xml:space="preserve">UN agency or international standards body as the main partner</t>
  </si>
  <si>
    <t xml:space="preserve">A policy proposal or court judgment, not a system</t>
  </si>
  <si>
    <t xml:space="preserve">No builder or partner reported</t>
  </si>
  <si>
    <t xml:space="preserve">Union ministry or department, State/UT department or directorate (incl. police)</t>
  </si>
  <si>
    <t xml:space="preserve">A State government or Chief Minister's office acting as a whole</t>
  </si>
  <si>
    <t xml:space="preserve">NIC, C-DAC, STPI and State IT agencies or IT corporations</t>
  </si>
  <si>
    <t xml:space="preserve">NITI Aayog and State transformation institutions</t>
  </si>
  <si>
    <t xml:space="preserve">Public sector undertaking or other government-owned company</t>
  </si>
  <si>
    <t xml:space="preserve">RBI, SEBI, TRAI and RBI regulatory sandbox entities</t>
  </si>
  <si>
    <t xml:space="preserve">Supreme Court, High Courts and judiciary chains</t>
  </si>
  <si>
    <t xml:space="preserve">Election Commission of India and State Election Commissions</t>
  </si>
  <si>
    <t xml:space="preserve">Statutory or autonomous boards, councils and development authorities</t>
  </si>
  <si>
    <t xml:space="preserve">Public universities, IITs, academies and government colleges</t>
  </si>
  <si>
    <t xml:space="preserve">Government-backed societies and foundations</t>
  </si>
  <si>
    <t xml:space="preserve">District collectorate, district offices or district police</t>
  </si>
  <si>
    <t xml:space="preserve">Municipal corporations and other urban local bodies</t>
  </si>
  <si>
    <t xml:space="preserve">Union (central) government bodies and national public institutions</t>
  </si>
  <si>
    <t xml:space="preserve">State government bodies</t>
  </si>
  <si>
    <t xml:space="preserve">Union Territory administrations</t>
  </si>
  <si>
    <t xml:space="preserve">District administrations</t>
  </si>
  <si>
    <t xml:space="preserve">Urban local bodies</t>
  </si>
  <si>
    <t xml:space="preserve">Northern Zonal Council members (Ladakh grouped here as it was carved out of Jammu and Kashmir)</t>
  </si>
  <si>
    <t xml:space="preserve">MHA Zonal Councils / North Eastern Council</t>
  </si>
  <si>
    <t xml:space="preserve">Central Zonal Council members</t>
  </si>
  <si>
    <t xml:space="preserve">Eastern Zonal Council members</t>
  </si>
  <si>
    <t xml:space="preserve">Western Zonal Council members (incl. Dadra and Nagar Haveli and Daman and Diu)</t>
  </si>
  <si>
    <t xml:space="preserve">Southern Zonal Council members (Telangana grouped here as it was carved out of Andhra Pradesh)</t>
  </si>
  <si>
    <t xml:space="preserve">North Eastern Council members (incl. Sikkim, added in 2002)</t>
  </si>
  <si>
    <t xml:space="preserve">Andaman and Nicobar Islands and Lakshadweep (not members of a zonal council)</t>
  </si>
  <si>
    <t xml:space="preserve">Union-level and national bodies</t>
  </si>
  <si>
    <t xml:space="preserve">Row score = score of the strongest linked source, capped at 1 if flagged unverified and at 2 if only vendor or slide-deck sources exist.</t>
  </si>
  <si>
    <t xml:space="preserve">source_role</t>
  </si>
  <si>
    <t xml:space="preserve">Cited for the project row itself</t>
  </si>
  <si>
    <t xml:space="preserve">Supports a dated stage event</t>
  </si>
  <si>
    <t xml:space="preserve">Supports a coded challenge</t>
  </si>
  <si>
    <t xml:space="preserve">Other useful source found during research</t>
  </si>
  <si>
    <t xml:space="preserve">nic_metric</t>
  </si>
  <si>
    <t xml:space="preserve">Cumulative documents/transactions recorded on the chain</t>
  </si>
  <si>
    <t xml:space="preserve">Cumulative verifications (reads)</t>
  </si>
  <si>
    <t xml:space="preserve">Verifications in the current month up to the data date</t>
  </si>
  <si>
    <t xml:space="preserve">Blockchain products listed</t>
  </si>
  <si>
    <t xml:space="preserve">Central organisations and States onboarded</t>
  </si>
  <si>
    <t xml:space="preserve">Departments onboarded</t>
  </si>
  <si>
    <t xml:space="preserve">Proofs of concept listed</t>
  </si>
  <si>
    <t xml:space="preserve">variable</t>
  </si>
  <si>
    <t xml:space="preserve">n</t>
  </si>
  <si>
    <t xml:space="preserve">observed_agreement</t>
  </si>
  <si>
    <t xml:space="preserve">cohen_s_kappa</t>
  </si>
  <si>
    <t xml:space="preserve">interpretation_landis_koch</t>
  </si>
  <si>
    <t xml:space="preserve">0.971428571428571</t>
  </si>
  <si>
    <t xml:space="preserve">0.959862385321101</t>
  </si>
  <si>
    <t xml:space="preserve">Almost perfect (0.81–1.00)</t>
  </si>
  <si>
    <t xml:space="preserve">Use-case type</t>
  </si>
  <si>
    <t xml:space="preserve">0.914285714285714</t>
  </si>
  <si>
    <t xml:space="preserve">0.899232245681382</t>
  </si>
  <si>
    <t xml:space="preserve">Chain type</t>
  </si>
  <si>
    <t xml:space="preserve">0.957678355501814</t>
  </si>
  <si>
    <t xml:space="preserve">Service type</t>
  </si>
  <si>
    <t xml:space="preserve">0.861660079051383</t>
  </si>
  <si>
    <t xml:space="preserve">Scale tier</t>
  </si>
  <si>
    <t xml:space="preserve">0.942857142857143</t>
  </si>
  <si>
    <t xml:space="preserve">0.897510980966325</t>
  </si>
  <si>
    <t xml:space="preserve">Disagreements and final (adjudicated) code</t>
  </si>
  <si>
    <t xml:space="preserve">ID</t>
  </si>
  <si>
    <t xml:space="preserve">Variable</t>
  </si>
  <si>
    <t xml:space="preserve">Project</t>
  </si>
  <si>
    <t xml:space="preserve">Coder A</t>
  </si>
  <si>
    <t xml:space="preserve">Coder B</t>
  </si>
  <si>
    <t xml:space="preserve">Property records on NIC Property Chain (NBF p</t>
  </si>
  <si>
    <t xml:space="preserve">Blockchain solutions with NIC (details not pu</t>
  </si>
  <si>
    <t xml:space="preserve">Nambikkai Inaiyam blockchain backbone + e-Pet</t>
  </si>
  <si>
    <t xml:space="preserve">PM Rashtriya Bal Puraskar certificates on blo</t>
  </si>
  <si>
    <t xml:space="preserve">list_stage</t>
  </si>
  <si>
    <t xml:space="preserve">list_use_case</t>
  </si>
  <si>
    <t xml:space="preserve">list_chain_type</t>
  </si>
  <si>
    <t xml:space="preserve">list_service_type</t>
  </si>
  <si>
    <t xml:space="preserve">list_scale_tier</t>
  </si>
  <si>
    <t xml:space="preserve">Blind coding sheet: be the human second coder</t>
  </si>
  <si>
    <t xml:space="preserve">Read each row and choose a value in the 5 yellow columns from the drop-downs, using the Vocabularies sheet. Do not look at the Projects sheet while coding. Agreement and Cohen's kappa against the dataset codes appear at the bottom automatically (about 40 minutes).</t>
  </si>
  <si>
    <t xml:space="preserve">Govt body</t>
  </si>
  <si>
    <t xml:space="preserve">What it does</t>
  </si>
  <si>
    <t xml:space="preserve">Blockchain platform (reported)</t>
  </si>
  <si>
    <t xml:space="preserve">Current status</t>
  </si>
  <si>
    <t xml:space="preserve">Scale (reported)</t>
  </si>
  <si>
    <t xml:space="preserve">Results (automatic)</t>
  </si>
  <si>
    <t xml:space="preserve">Rows coded</t>
  </si>
  <si>
    <t xml:space="preserve">Agreement</t>
  </si>
  <si>
    <t xml:space="preserve">Cohen's kappa</t>
  </si>
  <si>
    <t xml:space="preserve">public_authority_send_to_its_pio</t>
  </si>
  <si>
    <t xml:space="preserve">projects_covered</t>
  </si>
  <si>
    <t xml:space="preserve">where_how_to_file</t>
  </si>
  <si>
    <t xml:space="preserve">draft_rti_application_copy_fill_send</t>
  </si>
  <si>
    <t xml:space="preserve">NITI Aayog, New Delhi</t>
  </si>
  <si>
    <t xml:space="preserve">C19 Drug supply chain pilot (blockchain + Io, C20 IndiaChain – national blockchain network</t>
  </si>
  <si>
    <t xml:space="preserve">Online at rtionline.gov.in (central public authorities), fee Rs 10</t>
  </si>
  <si>
    <t xml:space="preserve">To: The Public Information Officer, NITI Aayog, New Delhi
Subject: Application under Section 6(1) of the Right to Information Act, 2005
Please provide the following information about the blockchain project(s): 'Drug supply chain pilot (blockchain + IoT)' (NITI Aayog, started/announced 28 Sep 2018); 'IndiaChain – national blockchain network' (NITI Aayog, started/announced 2018 (proposed)).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</si>
  <si>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Ministry of Corporate Affairs (and NIC, MeitY)</t>
  </si>
  <si>
    <t xml:space="preserve">C14 Blockchain solutions with NIC (details n, O18 Blockchain solutions with NIC (details n</t>
  </si>
  <si>
    <t xml:space="preserve">To: The Public Information Officer, Ministry of Corporate Affairs (and NIC, MeitY)
Subject: Application under Section 6(1) of the Right to Information Act, 2005
Please provide the following information about the blockchain project(s): 'Blockchain solutions with NIC (details not public)' (Ministry of Corporate Affairs, started/announced 2024); 'Blockchain solutions with NIC (details not public)' (Various ministries, started/announced 2024).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</si>
  <si>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Ministry of Railways (Railway Board)</t>
  </si>
  <si>
    <t xml:space="preserve">C17 Blockchain-based tamper-proof railway si</t>
  </si>
  <si>
    <t xml:space="preserve">To: The Public Information Officer, Ministry of Railways (Railway Board)
Subject: Application under Section 6(1) of the Right to Information Act, 2005
Please provide the following information about the blockchain project(s): 'Blockchain-based tamper-proof railway signalling' (Ministry of Railways, started/announced 2023).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</si>
  <si>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Transport Department, Govt of Andhra Pradesh</t>
  </si>
  <si>
    <t xml:space="preserve">S02 Vehicle registration pilot</t>
  </si>
  <si>
    <t xml:space="preserve">State/UT RTI online portal if available (check the state government website); otherwise by post to the PIO with Rs 10 fee as per state rules</t>
  </si>
  <si>
    <t xml:space="preserve">To: The Public Information Officer, Transport Department, Govt of Andhra Pradesh
Subject: Application under Section 6(1) of the Right to Information Act, 2005
Please provide the following information about the blockchain project(s): 'Vehicle registration pilot' (Andhra Pradesh, started/announced 2017–18).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</si>
  <si>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Civil Supplies Department, Govt of Andhra Pradesh</t>
  </si>
  <si>
    <t xml:space="preserve">S03 Civil supplies &amp; pension databases on bl</t>
  </si>
  <si>
    <t xml:space="preserve">To: The Public Information Officer, Civil Supplies Department, Govt of Andhra Pradesh
Subject: Application under Section 6(1) of the Right to Information Act, 2005
Please provide the following information about the blockchain project(s): 'Civil supplies &amp; pension databases on blockchain' (Andhra Pradesh, started/announced c. 2019).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</si>
  <si>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Water Resources Department, Govt of Andhra Pradesh</t>
  </si>
  <si>
    <t xml:space="preserve">S04 Land acquisition documents on NIC chain</t>
  </si>
  <si>
    <t xml:space="preserve">To: The Public Information Officer, Water Resources Department, Govt of Andhra Pradesh
Subject: Application under Section 6(1) of the Right to Information Act, 2005
Please provide the following information about the blockchain project(s): 'Land acquisition documents on NIC chain' (Andhra Pradesh, started/announced 4 Dec 2023).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</si>
  <si>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Chhattisgarh Infotech Promotion Society (CHiPS)</t>
  </si>
  <si>
    <t xml:space="preserve">S10 Blockchain for e-Governance Grand Challe</t>
  </si>
  <si>
    <t xml:space="preserve">To: The Public Information Officer, Chhattisgarh Infotech Promotion Society (CHiPS)
Subject: Application under Section 6(1) of the Right to Information Act, 2005
Please provide the following information about the blockchain project(s): 'Blockchain for e-Governance Grand Challenge' (Chhattisgarh, started/announced Aug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</si>
  <si>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Goa Police Headquarters (Crime Branch)</t>
  </si>
  <si>
    <t xml:space="preserve">S14 Police records (FIRs) on blockchain</t>
  </si>
  <si>
    <t xml:space="preserve">To: The Public Information Officer, Goa Police Headquarters (Crime Branch)
Subject: Application under Section 6(1) of the Right to Information Act, 2005
Please provide the following information about the blockchain project(s): 'Police records (FIRs) on blockchain' (Goa, started/announced Aug 2022).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</si>
  <si>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Department of Science &amp; Technology, Govt of Gujarat</t>
  </si>
  <si>
    <t xml:space="preserve">S16 Digital notarisation MoU (AI + blockchai</t>
  </si>
  <si>
    <t xml:space="preserve">To: The Public Information Officer, Department of Science &amp; Technology, Govt of Gujarat
Subject: Application under Section 6(1) of the Right to Information Act, 2005
Please provide the following information about the blockchain project(s): 'Digital notarisation MoU (AI + blockchain); CoE at GTU' (Gujarat, started/announced c. 2023–24).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</si>
  <si>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Horticulture Department, Govt of Himachal Pradesh (and NITI Aayog)</t>
  </si>
  <si>
    <t xml:space="preserve">S19 Apple supply-chain quality monitoring (b</t>
  </si>
  <si>
    <t xml:space="preserve">To: The Public Information Officer, Horticulture Department, Govt of Himachal Pradesh (and NITI Aayog)
Subject: Application under Section 6(1) of the Right to Information Act, 2005
Please provide the following information about the blockchain project(s): 'Apple supply-chain quality monitoring (blockchain + IoT)' (Himachal Pradesh, started/announced n.d.).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</si>
  <si>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Centre for Smart Governance (CSG), Govt of Karnataka</t>
  </si>
  <si>
    <t xml:space="preserve">S29 Permissioned blockchain trust layer for , S28 Kaveri blockchain + digital wallet for l</t>
  </si>
  <si>
    <t xml:space="preserve">To: The Public Information Officer, Centre for Smart Governance (CSG), Govt of Karnataka
Subject: Application under Section 6(1) of the Right to Information Act, 2005
Please provide the following information about the blockchain project(s): 'Permissioned blockchain trust layer for e-Government Procurement (e-GP)' (Karnataka, started/announced 18 Nov 2021); 'Kaveri blockchain + digital wallet for land records' (Karnataka, started/announced n.d.).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</si>
  <si>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Kerala Blockchain Academy / Digital University Kerala (and Health Dept)</t>
  </si>
  <si>
    <t xml:space="preserve">S31 Immunochain – vaccine traceability</t>
  </si>
  <si>
    <t xml:space="preserve">To: The Public Information Officer, Kerala Blockchain Academy / Digital University Kerala (and Health Dept)
Subject: Application under Section 6(1) of the Right to Information Act, 2005
Please provide the following information about the blockchain project(s): 'Immunochain – vaccine traceability' (Kerala, started/announced c. 2019–20).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</si>
  <si>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Electronics &amp; IT Department, Govt of Kerala</t>
  </si>
  <si>
    <t xml:space="preserve">S32 Pilots in land records, workforce, immun</t>
  </si>
  <si>
    <t xml:space="preserve">To: The Public Information Officer, Electronics &amp; IT Department, Govt of Kerala
Subject: Application under Section 6(1) of the Right to Information Act, 2005
Please provide the following information about the blockchain project(s): 'Pilots in land records, workforce, immunisation, organic food traceability' (Kerala, started/announced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</si>
  <si>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S34 Blockchain-as-a-Service platform for MP</t>
  </si>
  <si>
    <t xml:space="preserve">To: The Public Information Officer, MP State Electronics Development Corporation (MPSEDC)
Subject: Application under Section 6(1) of the Right to Information Act, 2005
Please provide the following information about the blockchain project(s): 'Blockchain-as-a-Service platform for MP' (Madhya Pradesh, started/announced 22 Sep 2025).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</si>
  <si>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Directorate of Information Technology, Govt of Maharashtra</t>
  </si>
  <si>
    <t xml:space="preserve">S37 State blockchain framework &amp; sandbox</t>
  </si>
  <si>
    <t xml:space="preserve">To: The Public Information Officer, Directorate of Information Technology, Govt of Maharashtra
Subject: Application under Section 6(1) of the Right to Information Act, 2005
Please provide the following information about the blockchain project(s): 'State blockchain framework &amp; sandbox' (Maharashtra, started/announced Aug 2019; sandbox Feb 2020).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</si>
  <si>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S39 Skill/diploma certificates on blockchain</t>
  </si>
  <si>
    <t xml:space="preserve">To: The Public Information Officer, Maharashtra State Board of Skill Development
Subject: Application under Section 6(1) of the Right to Information Act, 2005
Please provide the following information about the blockchain project(s): 'Skill/diploma certificates on blockchain' (Maharashtra, started/announced Jul 2021).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</si>
  <si>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Department of Education (Schools), Govt of Manipur</t>
  </si>
  <si>
    <t xml:space="preserve">S47 Academic Credential Verification System </t>
  </si>
  <si>
    <t xml:space="preserve">To: The Public Information Officer, Department of Education (Schools), Govt of Manipur
Subject: Application under Section 6(1) of the Right to Information Act, 2005
Please provide the following information about the blockchain project(s): 'Academic Credential Verification System on Internet Computer' (Manipur, started/announced 7 Dec 2023).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</si>
  <si>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S50 Blockchain-as-a-Service platform for Odi</t>
  </si>
  <si>
    <t xml:space="preserve">To: The Public Information Officer, Odisha Computer Application Centre (OCAC)
Subject: Application under Section 6(1) of the Right to Information Act, 2005
Please provide the following information about the blockchain project(s): 'Blockchain-as-a-Service platform for Odisha' (Odisha, started/announced 14 Dec 2023).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</si>
  <si>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Department of Agriculture &amp; Farmers Welfare, Govt of Punjab (PAGREXCO)</t>
  </si>
  <si>
    <t xml:space="preserve">S53 Seed potato traceability &amp; certification</t>
  </si>
  <si>
    <t xml:space="preserve">To: The Public Information Officer, Department of Agriculture &amp; Farmers Welfare, Govt of Punjab (PAGREXCO)
Subject: Application under Section 6(1) of the Right to Information Act, 2005
Please provide the following information about the blockchain project(s): 'Seed potato traceability &amp; certification' (Punjab, started/announced Jul 2019).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</si>
  <si>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Department of IT &amp; Communication, Govt of Rajasthan</t>
  </si>
  <si>
    <t xml:space="preserve">S55 Land records &amp; health records on blockch</t>
  </si>
  <si>
    <t xml:space="preserve">To: The Public Information Officer, Department of IT &amp; Communication, Govt of Rajasthan
Subject: Application under Section 6(1) of the Right to Information Act, 2005
Please provide the following information about the blockchain project(s): 'Land records &amp; health records on blockchain' (Rajasthan, started/announced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</si>
  <si>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School Education Department, Govt of Telangana</t>
  </si>
  <si>
    <t xml:space="preserve">S63 Class 10 / +2 certificates on blockchain</t>
  </si>
  <si>
    <t xml:space="preserve">To: The Public Information Officer, School Education Department, Govt of Telangana
Subject: Application under Section 6(1) of the Right to Information Act, 2005
Please provide the following information about the blockchain project(s): 'Class 10 / +2 certificates on blockchain' (Telangana, started/announced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</si>
  <si>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Board of Revenue, Govt of Uttar Pradesh</t>
  </si>
  <si>
    <t xml:space="preserve">S65 Land &amp; revenue records on blockchain</t>
  </si>
  <si>
    <t xml:space="preserve">To: The Public Information Officer, Board of Revenue, Govt of Uttar Pradesh
Subject: Application under Section 6(1) of the Right to Information Act, 2005
Please provide the following information about the blockchain project(s): 'Land &amp; revenue records on blockchain' (Uttar Pradesh, started/announced Jul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</si>
  <si>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Office of the SSP, Firozabad (UP Police)</t>
  </si>
  <si>
    <t xml:space="preserve">S66 Police complaint portal on Polygon</t>
  </si>
  <si>
    <t xml:space="preserve">To: The Public Information Officer, Office of the SSP, Firozabad (UP Police)
Subject: Application under Section 6(1) of the Right to Information Act, 2005
Please provide the following information about the blockchain project(s): 'Police complaint portal on Polygon' (Uttar Pradesh, started/announced Oct 2022).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</si>
  <si>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Medical Education Department, Govt of Uttarakhand (GMC Haldwani)</t>
  </si>
  <si>
    <t xml:space="preserve">S69 Medical equipment &amp; medicine asset track</t>
  </si>
  <si>
    <t xml:space="preserve">To: The Public Information Officer, Medical Education Department, Govt of Uttarakhand (GMC Haldwani)
Subject: Application under Section 6(1) of the Right to Information Act, 2005
Please provide the following information about the blockchain project(s): 'Medical equipment &amp; medicine asset tracking' (Uttarakhand, started/announced Feb 2022).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</si>
  <si>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S71 NFT-based land ownership &amp; mutation reco</t>
  </si>
  <si>
    <t xml:space="preserve">To: The Public Information Officer, New Town Kolkata Development Authority (NKDA)
Subject: Application under Section 6(1) of the Right to Information Act, 2005
Please provide the following information about the blockchain project(s): 'NFT-based land ownership &amp; mutation records' (West Bengal, started/announced 4 Jul 2023).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</si>
  <si>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Bankura and Durgapur Municipal Corporations, West Bengal</t>
  </si>
  <si>
    <t xml:space="preserve">S72 Birth certificates on blockchain</t>
  </si>
  <si>
    <t xml:space="preserve">To: The Public Information Officer, Bankura and Durgapur Municipal Corporations, West Bengal
Subject: Application under Section 6(1) of the Right to Information Act, 2005
Please provide the following information about the blockchain project(s): 'Birth certificates on blockchain' (West Bengal, started/announced 2018).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</si>
  <si>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Revenue Department, Govt of Jammu &amp; Kashmir</t>
  </si>
  <si>
    <t xml:space="preserve">UT</t>
  </si>
  <si>
    <t xml:space="preserve">S76 Land registry on blockchain (claimed)</t>
  </si>
  <si>
    <t xml:space="preserve">To: The Public Information Officer, Revenue Department, Govt of Jammu &amp; Kashmir
Subject: Application under Section 6(1) of the Right to Information Act, 2005
Please provide the following information about the blockchain project(s): 'Land registry on blockchain (claimed)' (Jammu &amp; Kashmir, started/announced n.d.).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</si>
  <si>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Coffee Board of India, Bengaluru</t>
  </si>
  <si>
    <t xml:space="preserve">O16 Blockchain coffee e-marketplace</t>
  </si>
  <si>
    <t xml:space="preserve">To: The Public Information Officer, Coffee Board of India, Bengaluru
Subject: Application under Section 6(1) of the Right to Information Act, 2005
Please provide the following information about the blockchain project(s): 'Blockchain coffee e-marketplace' (Ministry of Commerce &amp; Industry, started/announced 28 Mar 2019).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</si>
  <si>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Spices Board India, Kochi</t>
  </si>
  <si>
    <t xml:space="preserve">O17 Spice traceability &amp; trading (eSpiceBaza</t>
  </si>
  <si>
    <t xml:space="preserve">To: The Public Information Officer, Spices Board India, Kochi
Subject: Application under Section 6(1) of the Right to Information Act, 2005
Please provide the following information about the blockchain project(s): 'Spice traceability &amp; trading (eSpiceBazaar)' (Ministry of Commerce &amp; Industry, started/announced MoU 5 Apr 2021).
1. Present status (live / pilot / completed / discontinued) with the date of each change of status.
2. Number of records, certificates, transactions or beneficiaries handled on the blockchain up to date.
3. Blockchain platform used (e.g. Hyperledger Fabric, Polygon), whether permissioned or public, and who hosts the nodes (NIC, vendor, other).
4. Total amount sanctioned and spent, year-wise.
5. Copies of any evaluation, pilot or impact report; if discontinued, the reasons recorded.
6. Copy of the MoU / work order with the technology partner, if any.
I am a citizen of India. Fee of Rs 10 is paid by [mode]. If the information is held by another authority, please transfer this application under Section 6(3).
Name: [Your name]   Address: [Your address]   Date: [ ]   Signature: [ ]</t>
  </si>
  <si>
    <t xml:space="preserve">id</t>
  </si>
  <si>
    <t xml:space="preserve">issued_by</t>
  </si>
  <si>
    <t xml:space="preserve">document</t>
  </si>
  <si>
    <t xml:space="preserve">citation_ref_id</t>
  </si>
  <si>
    <t xml:space="preserve">source_url</t>
  </si>
  <si>
    <t xml:space="preserve">Blockchain: The India Strategy – Part I</t>
  </si>
  <si>
    <t xml:space="preserve">Jan 2020</t>
  </si>
  <si>
    <t xml:space="preserve">D03</t>
  </si>
  <si>
    <t xml:space="preserve">MeitY / PIB</t>
  </si>
  <si>
    <t xml:space="preserve">Launch of Vishvasya Stack, NBFLite, Praamaanik, National Blockchain Portal</t>
  </si>
  <si>
    <t xml:space="preserve">4 Sep 2024</t>
  </si>
  <si>
    <t xml:space="preserve">D04</t>
  </si>
  <si>
    <t xml:space="preserve">DLT circular &amp; operational guidelines for covenant monitoring</t>
  </si>
  <si>
    <t xml:space="preserve">Aug 2021 / Mar 2022</t>
  </si>
  <si>
    <t xml:space="preserve">D05</t>
  </si>
  <si>
    <t xml:space="preserve">Govt of Karnataka</t>
  </si>
  <si>
    <t xml:space="preserve">Plan for a blockchain framework policy</t>
  </si>
  <si>
    <t xml:space="preserve">Nov 2017</t>
  </si>
  <si>
    <t xml:space="preserve">D06</t>
  </si>
  <si>
    <t xml:space="preserve">Govt of Tamil Nadu</t>
  </si>
  <si>
    <t xml:space="preserve">Tamil Nadu Blockchain Policy 2020</t>
  </si>
  <si>
    <t xml:space="preserve">Sep 2020</t>
  </si>
  <si>
    <t xml:space="preserve">D07</t>
  </si>
  <si>
    <t xml:space="preserve">Govt of Telangana</t>
  </si>
  <si>
    <t xml:space="preserve">Draft Telangana Blockchain Policy (Blockchain District)</t>
  </si>
  <si>
    <t xml:space="preserve">May 2019</t>
  </si>
  <si>
    <t xml:space="preserve">D08</t>
  </si>
  <si>
    <t xml:space="preserve">Govt of West Bengal</t>
  </si>
  <si>
    <t xml:space="preserve">West Bengal Blockchain Technology Promotion Guidelines 2020</t>
  </si>
  <si>
    <t xml:space="preserve">D09</t>
  </si>
  <si>
    <t xml:space="preserve">Govt of Uttar Pradesh</t>
  </si>
  <si>
    <t xml:space="preserve">UP draft Blockchain Policy / blockchain architecture directive</t>
  </si>
  <si>
    <t xml:space="preserve">D10</t>
  </si>
  <si>
    <t xml:space="preserve">Rajya Sabha (Raghav Chadha, MP)</t>
  </si>
  <si>
    <t xml:space="preserve">Parliament speech proposing a National Blockchain Property Register</t>
  </si>
  <si>
    <t xml:space="preserve">9 Feb 2026</t>
  </si>
  <si>
    <t xml:space="preserve">Parliament</t>
  </si>
  <si>
    <t xml:space="preserve">D11</t>
  </si>
  <si>
    <t xml:space="preserve">Samiullah v. State of Bihar – recommendation to adopt blockchain in land registration</t>
  </si>
  <si>
    <t xml:space="preserve">7 Nov 2025</t>
  </si>
  <si>
    <t xml:space="preserve">D12</t>
  </si>
  <si>
    <t xml:space="preserve">e-Committee, Supreme Court</t>
  </si>
  <si>
    <t xml:space="preserve">eCourts Phase III vision document (blockchain for authentication)</t>
  </si>
  <si>
    <t xml:space="preserve">23 Sep 2022</t>
  </si>
  <si>
    <t xml:space="preserve">D13</t>
  </si>
  <si>
    <t xml:space="preserve">Govt of Odisha (OCAC)</t>
  </si>
  <si>
    <t xml:space="preserve">RFP – Blockchain-as-a-Service platform for Odisha</t>
  </si>
  <si>
    <t xml:space="preserve">14 Dec 2023</t>
  </si>
  <si>
    <t xml:space="preserve">D14</t>
  </si>
  <si>
    <t xml:space="preserve">Govt of Madhya Pradesh (MPSEDC)</t>
  </si>
  <si>
    <t xml:space="preserve">RFP – Blockchain-as-a-Service platform for MP</t>
  </si>
  <si>
    <t xml:space="preserve">22 Sep 2025</t>
  </si>
  <si>
    <t xml:space="preserve">authors</t>
  </si>
  <si>
    <t xml:space="preserve">venue</t>
  </si>
  <si>
    <t xml:space="preserve">doi_url</t>
  </si>
  <si>
    <t xml:space="preserve">india_focused</t>
  </si>
  <si>
    <t xml:space="preserve">L01</t>
  </si>
  <si>
    <t xml:space="preserve">Singh J., Batra G.S., Chatrath S.K.</t>
  </si>
  <si>
    <t xml:space="preserve">Blockchain's role in social welfare, financial inclusion, and public sector innovations in India: A multi-sector analysis of government-led initiatives</t>
  </si>
  <si>
    <t xml:space="preserve">Cities 167, 106366</t>
  </si>
  <si>
    <t xml:space="preserve">https://doi.org/10.1016/j.cities.2025.106366</t>
  </si>
  <si>
    <t xml:space="preserve">Survey (700) + 30 interviews, Punjab</t>
  </si>
  <si>
    <t xml:space="preserve">L02</t>
  </si>
  <si>
    <t xml:space="preserve">Thakur V., Doja M.N., Dwivedi Y.K., Ahmad T., Khadanga G.</t>
  </si>
  <si>
    <t xml:space="preserve">Land records on Blockchain for implementation of Land Titling in India</t>
  </si>
  <si>
    <t xml:space="preserve">International Journal of Information Management 52, 101940</t>
  </si>
  <si>
    <t xml:space="preserve">https://doi.org/10.1016/j.ijinfomgt.2019.04.013</t>
  </si>
  <si>
    <t xml:space="preserve">Case / framework</t>
  </si>
  <si>
    <t xml:space="preserve">L03</t>
  </si>
  <si>
    <t xml:space="preserve">(check authors)</t>
  </si>
  <si>
    <t xml:space="preserve">Blockchain Technology in Real-Time Governance: An Indian Scenario</t>
  </si>
  <si>
    <t xml:space="preserve">Indian Journal of Public Administration 68(3): 397–413</t>
  </si>
  <si>
    <t xml:space="preserve">https://www.researchgate.net/publication/362789839_Blockchain_Technology_in_Real-Time_Governance_An_Indian_Scenario</t>
  </si>
  <si>
    <t xml:space="preserve">Review</t>
  </si>
  <si>
    <t xml:space="preserve">L04</t>
  </si>
  <si>
    <t xml:space="preserve">Analysis of challenges for blockchain adoption within the Indian public sector: an interpretive structural modelling approach</t>
  </si>
  <si>
    <t xml:space="preserve">Information Technology &amp; People 35(2): 548–576</t>
  </si>
  <si>
    <t xml:space="preserve">(search title)</t>
  </si>
  <si>
    <t xml:space="preserve">Empirical (ISM)</t>
  </si>
  <si>
    <t xml:space="preserve">L05</t>
  </si>
  <si>
    <t xml:space="preserve">Saripalli S.H.</t>
  </si>
  <si>
    <t xml:space="preserve">Transforming Government banking by leveraging the potential of blockchain technology</t>
  </si>
  <si>
    <t xml:space="preserve">Journal of Banking and Financial Technology 5: 135–142</t>
  </si>
  <si>
    <t xml:space="preserve">https://doi.org/10.1007/s42786-021-00035-4</t>
  </si>
  <si>
    <t xml:space="preserve">Conceptual (RBI author)</t>
  </si>
  <si>
    <t xml:space="preserve">L06</t>
  </si>
  <si>
    <t xml:space="preserve">Tyagi et al.</t>
  </si>
  <si>
    <t xml:space="preserve">Blockchain-based smart contract for issuance of country of origin certificate for Indian Customs Exports Clearance</t>
  </si>
  <si>
    <t xml:space="preserve">Concurrency and Computation: Practice and Experience</t>
  </si>
  <si>
    <t xml:space="preserve">https://doi.org/10.1002/cpe.6249</t>
  </si>
  <si>
    <t xml:space="preserve">Framework</t>
  </si>
  <si>
    <t xml:space="preserve">L07</t>
  </si>
  <si>
    <t xml:space="preserve">Batubara F.R., Ubacht J., Janssen M.</t>
  </si>
  <si>
    <t xml:space="preserve">Challenges of blockchain technology adoption for e-government: a systematic literature review</t>
  </si>
  <si>
    <t xml:space="preserve">Proc. DGO 2018 (ACM)</t>
  </si>
  <si>
    <t xml:space="preserve">https://doi.org/10.1145/3209281.3209317</t>
  </si>
  <si>
    <t xml:space="preserve">SLR</t>
  </si>
  <si>
    <t xml:space="preserve">L08</t>
  </si>
  <si>
    <t xml:space="preserve">Ølnes S., Ubacht J., Janssen M.</t>
  </si>
  <si>
    <t xml:space="preserve">Blockchain in government: Benefits and implications of distributed ledger technology for information sharing</t>
  </si>
  <si>
    <t xml:space="preserve">Government Information Quarterly 34(3): 355–364</t>
  </si>
  <si>
    <t xml:space="preserve">Conceptual</t>
  </si>
  <si>
    <t xml:space="preserve">L09</t>
  </si>
  <si>
    <t xml:space="preserve">Ghosh B.C., Bhartia T., Addya S.K., Chakraborty S.</t>
  </si>
  <si>
    <t xml:space="preserve">Leveraging public-private blockchain interoperability for closed consortium interfacing</t>
  </si>
  <si>
    <t xml:space="preserve">IEEE INFOCOM 2021</t>
  </si>
  <si>
    <t xml:space="preserve">Protocol (interoperability)</t>
  </si>
  <si>
    <t xml:space="preserve">No – useful for NBF/state-chain links</t>
  </si>
  <si>
    <t xml:space="preserve">L10</t>
  </si>
  <si>
    <t xml:space="preserve">Ghosh B.C., Ramakrishna V., Govindarajan C., Behl D., Karunamoorthy D., Abebe E., Chakraborty S.</t>
  </si>
  <si>
    <t xml:space="preserve">Decentralized cross-network identity management for blockchain interoperation</t>
  </si>
  <si>
    <t xml:space="preserve">IEEE ICBC 2021</t>
  </si>
  <si>
    <t xml:space="preserve">Protocol (SSI identity)</t>
  </si>
  <si>
    <t xml:space="preserve">L11</t>
  </si>
  <si>
    <t xml:space="preserve">Ghosh B.C., Vinayagamurthy D., Ramakrishna V., Narayanam K., Chakraborty S.</t>
  </si>
  <si>
    <t xml:space="preserve">Privacy-preserving negotiation of common trust anchors across blockchain networks</t>
  </si>
  <si>
    <t xml:space="preserve">IEEE ICBC 2022 (short paper)</t>
  </si>
  <si>
    <t xml:space="preserve">Protocol</t>
  </si>
  <si>
    <t xml:space="preserve">L12</t>
  </si>
  <si>
    <t xml:space="preserve">Ghosh B.C., Patranabis S., Vinayagamurthy D., Ramakrishna V., Narayanam K., Chakraborty S.</t>
  </si>
  <si>
    <t xml:space="preserve">Private Certifier Intersection</t>
  </si>
  <si>
    <t xml:space="preserve">NDSS Symposium 2023</t>
  </si>
  <si>
    <t xml:space="preserve">Cryptographic protocol (MPC)</t>
  </si>
  <si>
    <t xml:space="preserve">L13</t>
  </si>
  <si>
    <t xml:space="preserve">Abebe E. et al.</t>
  </si>
  <si>
    <t xml:space="preserve">Enabling enterprise blockchain interoperability with trusted data transfer (industry track)</t>
  </si>
  <si>
    <t xml:space="preserve">ACM/IFIP Middleware 2019</t>
  </si>
  <si>
    <t xml:space="preserve">System</t>
  </si>
  <si>
    <t xml:space="preserve">L14</t>
  </si>
  <si>
    <t xml:space="preserve">MeitY NBF portal</t>
  </si>
  <si>
    <t xml:space="preserve">n.d.</t>
  </si>
  <si>
    <t xml:space="preserve">A survey on blockchain interoperability</t>
  </si>
  <si>
    <t xml:space="preserve">National Blockchain Framework – Top resources</t>
  </si>
  <si>
    <t xml:space="preserve">https://blockchain.meity.gov.in/index.php/top-resources/120-a-survey-on-blockchain-interoperability</t>
  </si>
  <si>
    <t xml:space="preserve">Survey</t>
  </si>
  <si>
    <t xml:space="preserve">L15</t>
  </si>
  <si>
    <t xml:space="preserve">Nagware K.</t>
  </si>
  <si>
    <t xml:space="preserve">Blockchain adoption and opportunities in India (slides, IIT Madras, Dec 2025)</t>
  </si>
  <si>
    <t xml:space="preserve">Hyperledger India / LFDT</t>
  </si>
  <si>
    <t xml:space="preserve">User-provided PDF</t>
  </si>
  <si>
    <t xml:space="preserve">Practitioner overview</t>
  </si>
  <si>
    <t xml:space="preserve">L16</t>
  </si>
  <si>
    <t xml:space="preserve">Reddy E, S.V.K.</t>
  </si>
  <si>
    <t xml:space="preserve">India's blockchain experiments need an exit plan (opinion)</t>
  </si>
  <si>
    <t xml:space="preserve">Kashmir Observer, 7 Sep 2026</t>
  </si>
  <si>
    <t xml:space="preserve">Opinion – pilots lack post-pilot funding</t>
  </si>
  <si>
    <t xml:space="preserve">statistic_for_paper_introduction_discussion</t>
  </si>
  <si>
    <t xml:space="preserve">as_of</t>
  </si>
  <si>
    <t xml:space="preserve">source</t>
  </si>
  <si>
    <t xml:space="preserve">NIC blockchain documents (official live dashboard)</t>
  </si>
  <si>
    <t xml:space="preserve">11,25,46,175 documents; 47,13,59,890 verifications; 22 departments; 12 central orgs/states; 6 products; 4 PoCs</t>
  </si>
  <si>
    <t xml:space="preserve">3 Oct 2026</t>
  </si>
  <si>
    <t xml:space="preserve">blockchain.gov.in live dashboard [B01]</t>
  </si>
  <si>
    <t xml:space="preserve">Growth of NIC blockchain documents</t>
  </si>
  <si>
    <t xml:space="preserve">8.08 crore (Jun 2024) → 10.38 crore (Dec 2025) → 11.25 crore (Oct 2026)</t>
  </si>
  <si>
    <t xml:space="preserve">2024–26</t>
  </si>
  <si>
    <t xml:space="preserve">Hyperledger eBook [R16]; Nagware (2025) [D01]; dashboard [B01]</t>
  </si>
  <si>
    <t xml:space="preserve">Concentration of use</t>
  </si>
  <si>
    <t xml:space="preserve">Karnataka Revenue Dept = ~99.5% of verifications (46.89 of 47.14 crore) and ~56% of documents; all Karnataka bodies ~80% of documents</t>
  </si>
  <si>
    <t xml:space="preserve">Computed from dashboard [B01]</t>
  </si>
  <si>
    <t xml:space="preserve">NBF documents verified (official)</t>
  </si>
  <si>
    <t xml:space="preserve">34 crore+</t>
  </si>
  <si>
    <t xml:space="preserve">21 Oct 2025</t>
  </si>
  <si>
    <t xml:space="preserve">PIB backgrounder [R01]</t>
  </si>
  <si>
    <t xml:space="preserve">State governments trying blockchain e-governance</t>
  </si>
  <si>
    <t xml:space="preserve">20+ states</t>
  </si>
  <si>
    <t xml:space="preserve">Nagware (2025) [D01], citing govt statistics</t>
  </si>
  <si>
    <t xml:space="preserve">States/UTs with a publicly reported project (this database)</t>
  </si>
  <si>
    <t xml:space="preserve">See Coverage sheet</t>
  </si>
  <si>
    <t xml:space="preserve">4 Oct 2026</t>
  </si>
  <si>
    <t xml:space="preserve">This database</t>
  </si>
  <si>
    <t xml:space="preserve">Indian blockchain firms mapped</t>
  </si>
  <si>
    <t xml:space="preserve">128 (98 startups); e-governance: 6 startups, 3 live</t>
  </si>
  <si>
    <t xml:space="preserve">Nagware (2025) [D01] ecosystem table</t>
  </si>
  <si>
    <t xml:space="preserve">Indian Web3 startups</t>
  </si>
  <si>
    <t xml:space="preserve">900+</t>
  </si>
  <si>
    <t xml:space="preserve">2024–25</t>
  </si>
  <si>
    <t xml:space="preserve">NASSCOM &amp; Primus Partners, via Nagware (2025) [D01]</t>
  </si>
  <si>
    <t xml:space="preserve">India's share of global Web3 talent</t>
  </si>
  <si>
    <t xml:space="preserve">11% (~75,000 blockchain professionals; 3rd largest pool)</t>
  </si>
  <si>
    <t xml:space="preserve">PwC estimate: blockchain value to India by 2030 (by application)</t>
  </si>
  <si>
    <t xml:space="preserve">Provenance &amp; traceability $41bn; securitisation &amp; payments $13.2bn; identity &amp; credentials $5bn; loyalty $1.6bn; agreements &amp; disputes $1.2bn (≈$62bn)</t>
  </si>
  <si>
    <t xml:space="preserve">2020 report</t>
  </si>
  <si>
    <t xml:space="preserve">PwC 'Time for Trust' (2020), via Nagware (2025) [D01]</t>
  </si>
  <si>
    <t xml:space="preserve">PwC estimate: global blockchain value by 2030</t>
  </si>
  <si>
    <t xml:space="preserve">US$1.76 trillion</t>
  </si>
  <si>
    <t xml:space="preserve">PwC 'Time for Trust' (2020) https://www.pwc.com/gx/en/industries/technology/publications/blockchain-report-transform-business-economy.html</t>
  </si>
  <si>
    <t xml:space="preserve">e₹ (CBDC) in circulation</t>
  </si>
  <si>
    <t xml:space="preserve">₹1,016 crore (+334% YoY)</t>
  </si>
  <si>
    <t xml:space="preserve">Mar 2025</t>
  </si>
  <si>
    <t xml:space="preserve">RBI Annual Report via NewKerala [N71]; Nagware (2025) [D01]</t>
  </si>
  <si>
    <t xml:space="preserve">e₹ retail users</t>
  </si>
  <si>
    <t xml:space="preserve">~10 million</t>
  </si>
  <si>
    <t xml:space="preserve">Apr 2026</t>
  </si>
  <si>
    <t xml:space="preserve">The United Indian [R07]</t>
  </si>
  <si>
    <t xml:space="preserve">Digi Yatra scale</t>
  </si>
  <si>
    <t xml:space="preserve">24 airports; 16 million users</t>
  </si>
  <si>
    <t xml:space="preserve">Dec 2025</t>
  </si>
  <si>
    <t xml:space="preserve">Nagware (2025) [D01]</t>
  </si>
  <si>
    <t xml:space="preserve">NSDL DLT bond platform</t>
  </si>
  <si>
    <t xml:space="preserve">550+ issuers; 3,800+ secured ISINs (~90%)</t>
  </si>
  <si>
    <t xml:space="preserve">Nagware (2025) [D01], citing Cognizant case study</t>
  </si>
  <si>
    <t xml:space="preserve">TRAI spam problem before DLT</t>
  </si>
  <si>
    <t xml:space="preserve">230 million complaints despite DND registration</t>
  </si>
  <si>
    <t xml:space="preserve">Govt officials trained in emerging tech incl. blockchain</t>
  </si>
  <si>
    <t xml:space="preserve">21,000+ officials in 214 programmes</t>
  </si>
  <si>
    <t xml:space="preserve">Oct 2025</t>
  </si>
  <si>
    <t xml:space="preserve">item</t>
  </si>
  <si>
    <t xml:space="preserve">body</t>
  </si>
  <si>
    <t xml:space="preserve">why_excluded</t>
  </si>
  <si>
    <t xml:space="preserve">FASTER (Fast and Secured Transmission of Electronic Records)</t>
  </si>
  <si>
    <t xml:space="preserve">Sends e-authenticated bail/stay orders over a secured electronic channel; no blockchain disclosed</t>
  </si>
  <si>
    <t xml:space="preserve">https://www.livelaw.in/top-stories/faster-release-of-prisoners-after-bail-supreme-court-directs-statesuts-to-accept-e-authenticated-copies-of-orders-182327</t>
  </si>
  <si>
    <t xml:space="preserve">Indian Carbon Market Portal (Mar 2026)</t>
  </si>
  <si>
    <t xml:space="preserve">Ministry of Power / BEE</t>
  </si>
  <si>
    <t xml:space="preserve">Blockchain use not confirmed (an opinion piece says it is optional)</t>
  </si>
  <si>
    <t xml:space="preserve">Govt land protection guidelines (Jul 2026)</t>
  </si>
  <si>
    <t xml:space="preserve">Govt of Himachal Pradesh</t>
  </si>
  <si>
    <t xml:space="preserve">Digital records + GIS only; no blockchain</t>
  </si>
  <si>
    <t xml:space="preserve">https://thenewshimachal.com/2026/07/himachal-issues-new-guidelines-to-protect-government-land-digital-records-mandatory-for-every-plot/</t>
  </si>
  <si>
    <t xml:space="preserve">NIC West Bengal 'State at a glance' (Oct 2025)</t>
  </si>
  <si>
    <t xml:space="preserve">NIC West Bengal</t>
  </si>
  <si>
    <t xml:space="preserve">Lists 60+ e-gov projects; none use blockchain</t>
  </si>
  <si>
    <t xml:space="preserve">https://cdnbbsr.s3waas.gov.in/s307cb5f86508f146774a2fac4373a8e50/uploads/2025/11/2025111820.pdf</t>
  </si>
  <si>
    <t xml:space="preserve">Ladakh e-governance initiatives</t>
  </si>
  <si>
    <t xml:space="preserve">UT Administration of Ladakh</t>
  </si>
  <si>
    <t xml:space="preserve">Official e-gov page mentions no blockchain</t>
  </si>
  <si>
    <t xml:space="preserve">https://ladakh.gov.in/ladakh-leads-e-governance-revolution-strengthening-indias-global-digital-leadership-lg-kavinder/</t>
  </si>
  <si>
    <t xml:space="preserve">SEWA Digital Health Passport (Algorand)</t>
  </si>
  <si>
    <t xml:space="preserve">SEWA (NGO)</t>
  </si>
  <si>
    <t xml:space="preserve">Not a government body – useful only as a civil-society comparison</t>
  </si>
  <si>
    <t xml:space="preserve">https://algorand.co/case-studies/sewa-and-the-algorand-foundation-launch-blockchain-based-digital-health-passport-to-expand-healthcare-access-for-millions-of-women-in-india</t>
  </si>
  <si>
    <t xml:space="preserve">Mann Deshi credit scoring (Algorand)</t>
  </si>
  <si>
    <t xml:space="preserve">Mann Deshi (NGO)</t>
  </si>
  <si>
    <t xml:space="preserve">Not a government body</t>
  </si>
  <si>
    <t xml:space="preserve">https://algorand.co/case-studies/unlocking-credit-for-rural-women-in-india-mann-deshi-launches-blockchain-based-credit-scoring-solution-on-algorand</t>
  </si>
  <si>
    <t xml:space="preserve">Vaccine Ledger</t>
  </si>
  <si>
    <t xml:space="preserve">StaTwig with GMR (private)</t>
  </si>
  <si>
    <t xml:space="preserve">Private-sector platform; no named government client in deck</t>
  </si>
  <si>
    <t xml:space="preserve">User-provided deck (Nagware 2025)</t>
  </si>
  <si>
    <t xml:space="preserve">DLAI certificates on blockchain</t>
  </si>
  <si>
    <t xml:space="preserve">Digital Lenders Association of India</t>
  </si>
  <si>
    <t xml:space="preserve">Industry association, not government</t>
  </si>
  <si>
    <t xml:space="preserve">ICICI Trade Connect; YES Bank blockchain CP</t>
  </si>
  <si>
    <t xml:space="preserve">Private banks</t>
  </si>
  <si>
    <t xml:space="preserve">Private sector, not government</t>
  </si>
  <si>
    <t xml:space="preserve">https://www.yesbank.in/media/press-releases/yes-bank-implements-asias-first-commercial-paper-issuance-on-blockchain</t>
  </si>
  <si>
    <t xml:space="preserve">Rajasthan SeMT minutes (May 2022)</t>
  </si>
  <si>
    <t xml:space="preserve">DoIT&amp;C Rajasthan</t>
  </si>
  <si>
    <t xml:space="preserve">14 e-gov projects incl. Jan Aadhaar; no blockchain</t>
  </si>
  <si>
    <t xml:space="preserve">https://doitc.rajasthan.gov.in/Files/DOITCWEB/WriteReadData/CircularNotificaionsOrders/20220614115319638046492nd_SeMT_MoM_26-05-2022.pdf</t>
  </si>
  <si>
    <t xml:space="preserve">version</t>
  </si>
  <si>
    <t xml:space="preserve">change_type</t>
  </si>
  <si>
    <t xml:space="preserve">record</t>
  </si>
  <si>
    <t xml:space="preserve">source corrected</t>
  </si>
  <si>
    <t xml:space="preserve">date "2021" -&gt; "2019-11-21" (article date checked)</t>
  </si>
  <si>
    <t xml:space="preserve">date "2019" -&gt; "2017-06-28" (article date checked)</t>
  </si>
  <si>
    <t xml:space="preserve">added</t>
  </si>
  <si>
    <t xml:space="preserve">New project: NKDA blockchain birth certificate (Dec 2018), found during stage-date research.</t>
  </si>
  <si>
    <t xml:space="preserve">WEBEL newsletter Jan 2019</t>
  </si>
  <si>
    <t xml:space="preserve">stage changed</t>
  </si>
  <si>
    <t xml:space="preserve">Unclear (no recent update) -&gt; Pilot completed: NITI Aayog's Jan 2020 draft strategy reports the drug track-and-trace pilot as executed and draws lessons from it.</t>
  </si>
  <si>
    <t xml:space="preserve">status text updated</t>
  </si>
  <si>
    <t xml:space="preserve">"Pilot announced; no outcome published" -&gt; "Pilot executed (reported in NITI Aayog draft strategy, Jan 2020); no follow-up found"</t>
  </si>
  <si>
    <t xml:space="preserve">note updated</t>
  </si>
  <si>
    <t xml:space="preserve">"Vendor press release only" -&gt; "v1.1: official PIB release (Sep 2018) and NITI Aayog draft strategy (Jan 2020) found; the strategy reports the pilot as executed."</t>
  </si>
  <si>
    <t xml:space="preserve">"Dropped from dashboard – check" -&gt; "Listed in the NIC statistics file of Jul 2024 (12 documents, Water Resource Dept); no longer listed in Oct 2026."</t>
  </si>
  <si>
    <t xml:space="preserve">Unclear (no recent update) -&gt; Proposed / Planned: Feb 2026 report: Gujarat e-Notary DPR sent to Union Ministry of Law; proposal still being finalised (vendor source).</t>
  </si>
  <si>
    <t xml:space="preserve">"Reported in 2024 eBook only" -&gt; "DPR sent to Union Ministry of Law; proposal being finalised (Feb 2026, vendor source)"</t>
  </si>
  <si>
    <t xml:space="preserve">"Find official source" -&gt; "No official source yet; the Feb 2026 status update comes from the vendor (Naapbooks)."</t>
  </si>
  <si>
    <t xml:space="preserve">Implemented -&gt; Unclear (no recent update): Only source is the June 2023 agreement (future tense); no evidence any certificate was issued; 3-year term ended ~Jun 2026.</t>
  </si>
  <si>
    <t xml:space="preserve">"3-year agreement in force" -&gt; "Agreement with CRISP signed Jun 2023 (3-year term); no evidence of certificates issued"</t>
  </si>
  <si>
    <t xml:space="preserve">field corrected</t>
  </si>
  <si>
    <t xml:space="preserve">Tech partner: "CRISP (MP)" -&gt; "CRISP Bhopal (Madhya Pradesh govt society)"</t>
  </si>
  <si>
    <t xml:space="preserve">Proposed / Planned -&gt; In progress: Dated Dec 2021 report of a running Tumakuru pilot (781 smartcards, 310 transactions); described as under development in Dec 2025.</t>
  </si>
  <si>
    <t xml:space="preserve">"Date unclear – verify" -&gt; "v1.1: Tumakuru pilot dated Dec 2021 found; no full rollout date found."</t>
  </si>
  <si>
    <t xml:space="preserve">"Weak source – find official release" -&gt; "v1.1: official Kerala PSC page on the launch found."</t>
  </si>
  <si>
    <t xml:space="preserve">Implemented -&gt; Unclear (no recent update): Same June 2023 agreement as S17 (provider side); no dated evidence of certificates issued.</t>
  </si>
  <si>
    <t xml:space="preserve">"In use" -&gt; "Provider side of the S17 agreement (Jun 2023); no evidence of certificates issued"</t>
  </si>
  <si>
    <t xml:space="preserve">note added</t>
  </si>
  <si>
    <t xml:space="preserve">record merged</t>
  </si>
  <si>
    <t xml:space="preserve">Marked merged: same June 2023 agreement as S17 (CRISP is the provider). Kept in the file for traceability, excluded from counts.</t>
  </si>
  <si>
    <t xml:space="preserve">"Only deck + vendor sources – verify" -&gt; "Unverified blockchain claim: the only news source does not mention blockchain and the vendor page was offline in Oct 2026 (deck + vendor sources only)."</t>
  </si>
  <si>
    <t xml:space="preserve">Implemented -&gt; Unclear (no recent update): All dated sources (2019 Lok Sabha reply; Dec 2021 National Strategy) describe only a Shamshabad pilot; no later rollout found.</t>
  </si>
  <si>
    <t xml:space="preserve">"Implemented and deployed at Shamshabad (MeitY portal)" -&gt; "Piloted at Shamshabad SRO (Dec 2021); no later update found"</t>
  </si>
  <si>
    <t xml:space="preserve">In progress -&gt; Pilot completed: Telangana ITE&amp;C reports a completed dry run (Khammam, Oct 2021); no use in an actual election found.</t>
  </si>
  <si>
    <t xml:space="preserve">"Under user acceptance testing (MeitY portal)" -&gt; "Dry run completed (Khammam, Oct 2021); not used in an actual election"</t>
  </si>
  <si>
    <t xml:space="preserve">"Approved by UPERC" -&gt; "Pilot trading under way (first trades Feb 2026; 1,164 trades to Jul 2026); pilot extended to 31 Mar 2027"</t>
  </si>
  <si>
    <t xml:space="preserve">Scale / numbers: "27,000 acres; 5,00,000 NFTs (CXO Today) vs 50,000 (ORF)" -&gt; "27,000 acres; 5,00,000 NFTs planned (Forkast, Crypto Times, YourStory 2023)". Three 2023 sources give 500,000 NFTs; ORF's 50,000 appears to be an error.</t>
  </si>
  <si>
    <t xml:space="preserve">Tech partner: "Infosys, IBM" -&gt; "MonetaGo (with NPCI and banks)". Research found MonetaGo was the PoC technology partner; Infosys and IBM were in the white-paper working group.</t>
  </si>
  <si>
    <t xml:space="preserve">Cognizant case study (data as of 28 Nov 2024) reports 4,291 issuers and 6,368 secured ISINs, higher than the deck figures.</t>
  </si>
  <si>
    <t xml:space="preserve">event corrected</t>
  </si>
  <si>
    <t xml:space="preserve">live 2025-10: evidence -&gt; Live by this date: eCommittee newsletter says Karnataka HC judgment verifications on blockchain are counted from Oct 2025 (7,55,945 by 2 Apr 2026); the counter start is not a stated go-live date.</t>
  </si>
  <si>
    <t xml:space="preserve">latest_update 2018-09-13: evidence -&gt; Vendor says it launched an EHR on blockchain onboarding over 53 million people; land-record rollout still forthcoming (page dated 13 Sep 2018; metadata 10 Oct 2018).</t>
  </si>
  <si>
    <t xml:space="preserve">announced 2017-06: event_type -&gt; pilot_started</t>
  </si>
  <si>
    <t xml:space="preserve">announced 2026-02: date -&gt; 2026-02-18, prec -&gt; day</t>
  </si>
  <si>
    <t xml:space="preserve">event added</t>
  </si>
  <si>
    <t xml:space="preserve">pilot_started 2026-02: First pilot trades in Feb 2026, regular trading from Mar 2026 (1,164 trades Feb–Jul 2026).</t>
  </si>
  <si>
    <t xml:space="preserve">latest_update 2026-09-07: UPERC extended the interstate P2P renewable trading pilot to 31 Mar 2027 after trading under the pilot.</t>
  </si>
  <si>
    <t xml:space="preserve">status date updated</t>
  </si>
  <si>
    <t xml:space="preserve">status_as_of 2025-10-21 -&gt; 2026-10-03 (newer dated evidence found)</t>
  </si>
  <si>
    <t xml:space="preserve">status_as_of 2024-08-06 -&gt; 2026-08-06 (newer dated evidence found)</t>
  </si>
  <si>
    <t xml:space="preserve">status_as_of 2022-01 -&gt; 2022-01-24 (newer dated evidence found)</t>
  </si>
  <si>
    <t xml:space="preserve">status_as_of 2023-07 -&gt; 2023-07-11 (newer dated evidence found)</t>
  </si>
  <si>
    <t xml:space="preserve">status_as_of 2018-09 -&gt; 2020-01 (newer dated evidence found)</t>
  </si>
  <si>
    <t xml:space="preserve">status_as_of 2018 -&gt; 2022-10-18 (newer dated evidence found)</t>
  </si>
  <si>
    <t xml:space="preserve">status_as_of 2018 -&gt; 2019-12-16 (newer dated evidence found)</t>
  </si>
  <si>
    <t xml:space="preserve">status_as_of 2018 -&gt; 2018-03-05 (newer dated evidence found)</t>
  </si>
  <si>
    <t xml:space="preserve">status_as_of 2025-07-18 -&gt; 2025-07-21 (newer dated evidence found)</t>
  </si>
  <si>
    <t xml:space="preserve">status_as_of 2025-03-06 -&gt; 2026-01-13 (newer dated evidence found)</t>
  </si>
  <si>
    <t xml:space="preserve">status_as_of 2024 -&gt; 2026-02-28 (newer dated evidence found)</t>
  </si>
  <si>
    <t xml:space="preserve">status_as_of 2022-08-19 -&gt; 2026-06-14 (newer dated evidence found)</t>
  </si>
  <si>
    <t xml:space="preserve">status_as_of 2018 -&gt; 2020-01-09 (newer dated evidence found)</t>
  </si>
  <si>
    <t xml:space="preserve">status_as_of 2025-11 -&gt; 2025-11-14 (newer dated evidence found)</t>
  </si>
  <si>
    <t xml:space="preserve">status_as_of 2025-10-31 -&gt; 2025-11-01 (newer dated evidence found)</t>
  </si>
  <si>
    <t xml:space="preserve">status_as_of 2021 -&gt; 2021-08-12 (newer dated evidence found)</t>
  </si>
  <si>
    <t xml:space="preserve">status_as_of 2025-12-04 -&gt; 2026-09-11 (newer dated evidence found)</t>
  </si>
  <si>
    <t xml:space="preserve">status_as_of 2023-12-14 -&gt; 2025-02-13 (newer dated evidence found)</t>
  </si>
  <si>
    <t xml:space="preserve">status_as_of 2024-02-23 -&gt; 2025-02-13 (newer dated evidence found)</t>
  </si>
  <si>
    <t xml:space="preserve">status_as_of 2018-09 -&gt; 2018-09-13 (newer dated evidence found)</t>
  </si>
  <si>
    <t xml:space="preserve">status_as_of 2022-12-23 -&gt; 2023-01-13 (newer dated evidence found)</t>
  </si>
  <si>
    <t xml:space="preserve">status_as_of 2022-12-05 -&gt; 2023-01-13 (newer dated evidence found)</t>
  </si>
  <si>
    <t xml:space="preserve">status_as_of 2020-02-16 -&gt; 2021-12-17 (newer dated evidence found)</t>
  </si>
  <si>
    <t xml:space="preserve">status_as_of 2018 -&gt; 2018-08-07 (newer dated evidence found)</t>
  </si>
  <si>
    <t xml:space="preserve">status_as_of 2023-08-12 -&gt; 2025-02 (newer dated evidence found)</t>
  </si>
  <si>
    <t xml:space="preserve">status_as_of 2024 -&gt; 2025-02 (newer dated evidence found)</t>
  </si>
  <si>
    <t xml:space="preserve">status_as_of 2022-10 -&gt; 2023-11-27 (newer dated evidence found)</t>
  </si>
  <si>
    <t xml:space="preserve">status_as_of 2019-11-26 -&gt; 2025-02 (newer dated evidence found)</t>
  </si>
  <si>
    <t xml:space="preserve">status_as_of 2026-02-18 -&gt; 2026-09-07 (newer dated evidence found)</t>
  </si>
  <si>
    <t xml:space="preserve">status_as_of 2022-02-28 -&gt; 2024-12-30 (newer dated evidence found)</t>
  </si>
  <si>
    <t xml:space="preserve">status_as_of 2023-07 -&gt; 2023-08-09 (newer dated evidence found)</t>
  </si>
  <si>
    <t xml:space="preserve">status_as_of 2018 -&gt; 2025-02-13 (newer dated evidence found)</t>
  </si>
  <si>
    <t xml:space="preserve">status_as_of 2026-10 -&gt; 2026-10-01 (newer dated evidence found)</t>
  </si>
  <si>
    <t xml:space="preserve">status_as_of 2022-06-23 -&gt; 2024-12-30 (newer dated evidence found)</t>
  </si>
  <si>
    <t xml:space="preserve">status_as_of 2022-09 -&gt; 2025-12-19 (newer dated evidence found)</t>
  </si>
  <si>
    <t xml:space="preserve">status_as_of 2025-11-07 -&gt; 2026-01-22 (newer dated evidence found)</t>
  </si>
  <si>
    <t xml:space="preserve">status_as_of 2025-12 -&gt; 2026-09-21 (newer dated evidence found)</t>
  </si>
  <si>
    <t xml:space="preserve">status_as_of 2019-01 -&gt; 2018-12-20 (newer dated evidence found)</t>
  </si>
  <si>
    <t xml:space="preserve">challenge reworded</t>
  </si>
  <si>
    <t xml:space="preserve">T4: Court warned that inaccurate, incomplete or disputed legacy land records would be carried into a digital version; petitioners said Bihar surveys were incomplete.</t>
  </si>
  <si>
    <t xml:space="preserve">O3: Alleged retention of references to the original developer (Dataevolve) after it was replaced, reported in a 2024 investigation; a Delhi HC dispute over platform IP followed.</t>
  </si>
  <si>
    <t xml:space="preserve">evidence score changed</t>
  </si>
  <si>
    <t xml:space="preserve">3 -&gt; 4 (new sources linked in v1.1 research)</t>
  </si>
  <si>
    <t xml:space="preserve">2 -&gt; 3 (new sources linked in v1.1 research)</t>
  </si>
  <si>
    <t xml:space="preserve">1 -&gt; 4 (new sources linked in v1.1 research)</t>
  </si>
  <si>
    <t xml:space="preserve">2 -&gt; 4 (new sources linked in v1.1 research)</t>
  </si>
  <si>
    <t xml:space="preserve">2 -&gt; 1 (new sources linked in v1.1 research)</t>
  </si>
  <si>
    <t xml:space="preserve">live-by event 2026-10-03 from NIC snapshot (409 documents)</t>
  </si>
  <si>
    <t xml:space="preserve">live-by event 2026-10-03 from NIC snapshot (149,781 documents)</t>
  </si>
  <si>
    <t xml:space="preserve">live-by event 2024-07-23 from NIC snapshot (4,185 documents)</t>
  </si>
  <si>
    <t xml:space="preserve">live-by event 2024-07-23 from NIC snapshot (19,620,723 documents)</t>
  </si>
  <si>
    <t xml:space="preserve">live-by event 2024-07-23 from NIC snapshot (34,169 documents)</t>
  </si>
  <si>
    <t xml:space="preserve">live-by event 2026-10-03 from NIC snapshot (31,749 documents)</t>
  </si>
  <si>
    <t xml:space="preserve">live-by event 2026-10-03 from NIC snapshot (3,465 documents)</t>
  </si>
  <si>
    <t xml:space="preserve">live-by event 2024-07-23 from NIC snapshot (121,810 documents)</t>
  </si>
  <si>
    <t xml:space="preserve">status_as_of 2026-10-03 -&gt; 2026-10-14 (NIC snapshot)</t>
  </si>
  <si>
    <t xml:space="preserve">scale updated</t>
  </si>
  <si>
    <t xml:space="preserve">scale_text "442 documents; 983 verifications" -&gt; "447 documents; 987 verifications (NIC statistics, 2026-10-14)"</t>
  </si>
  <si>
    <t xml:space="preserve">scale_text "17,37,549 documents; 20,95,354 verifications" -&gt; "17,41,654 documents; 21,62,694 verifications (NIC statistics, 2026-10-14)"</t>
  </si>
  <si>
    <t xml:space="preserve">scale_text "22,709 documents; 16 verifications" -&gt; "23,047 documents; 16 verifications (NIC statistics, 2026-10-14)"</t>
  </si>
  <si>
    <t xml:space="preserve">scale_text "409 documents; 24 verifications" -&gt; "4,553 documents; 1,702 verifications (NIC statistics, 2026-10-14)"</t>
  </si>
  <si>
    <t xml:space="preserve">scale_text "2,10,71,556 documents; 85,261 verifications" -&gt; "2,10,71,556 documents; 85,261 verifications (NIC statistics, 2026-10-14)"</t>
  </si>
  <si>
    <t xml:space="preserve">scale_text "Survey Dept 1,49,781 documents; Revenue Dept 1,44,471 verifications" -&gt; "3,16,434 documents; 1,60,368 verifications (NIC statistics, 2026-10-14)"</t>
  </si>
  <si>
    <t xml:space="preserve">scale_text "7,277 documents; 103 verifications" -&gt; "7,277 documents; 103 verifications (NIC statistics, 2026-10-14)"</t>
  </si>
  <si>
    <t xml:space="preserve">scale_text "4,474 documents; 31 verifications" -&gt; "4,474 documents; 31 verifications (NIC statistics, 2026-10-14)"</t>
  </si>
  <si>
    <t xml:space="preserve">scale_text "34,93,771 documents" -&gt; "35,38,745 documents (NIC statistics, 2026-10-14)"</t>
  </si>
  <si>
    <t xml:space="preserve">scale_text "67,66,802 documents; 37 verifications" -&gt; "68,20,431 documents; 37 verifications (NIC statistics, 2026-10-14)"</t>
  </si>
  <si>
    <t xml:space="preserve">scale_text "4,22,30,722 documents" -&gt; "4,24,82,055 documents; 2 verifications (NIC statistics, 2026-10-14)"</t>
  </si>
  <si>
    <t xml:space="preserve">scale_text "1,43,97,704 documents; 1,258 verifications" -&gt; "1,43,97,704 documents; 1,258 verifications (NIC statistics, 2026-10-14)"</t>
  </si>
  <si>
    <t xml:space="preserve">scale_text "2,11,49,850 documents; 46,88,54,209 verifications (12.1 lakh this month)" -&gt; "2,11,88,847 documents; 47,50,45,928 verifications (NIC statistics, 2026-10-14)"</t>
  </si>
  <si>
    <t xml:space="preserve">scale_text "43,565 documents; 6,084 verifications" -&gt; "43,565 documents; 6,084 verifications (NIC statistics, 2026-10-14)"</t>
  </si>
  <si>
    <t xml:space="preserve">scale_text "31,749 documents; 6,324 verifications" -&gt; "31,760 documents; 6,460 verifications (NIC statistics, 2026-10-14)"</t>
  </si>
  <si>
    <t xml:space="preserve">scale_text "2,02,444 documents; 10,783 verifications" -&gt; "2,02,444 documents; 10,783 verifications (NIC statistics, 2026-10-14)"</t>
  </si>
  <si>
    <t xml:space="preserve">scale_text "968 documents; 72 verifications" -&gt; "1,005 documents; 73 verifications (NIC statistics, 2026-10-14)"</t>
  </si>
  <si>
    <t xml:space="preserve">scale_text "79,614 documents; 59 verifications" -&gt; "79,614 documents; 59 verifications (NIC statistics, 2026-10-14)"</t>
  </si>
  <si>
    <t xml:space="preserve">scale_text "3,465 documents; 1 verification" -&gt; "3,465 documents; 1 verifications (NIC statistics, 2026-10-14)"</t>
  </si>
  <si>
    <t xml:space="preserve">scale_text "8,16,543 documents; 1,53,834 verifications (747 this month)" -&gt; "8,16,773 documents; 1,53,915 verifications (NIC statistics, 2026-10-14)"</t>
  </si>
  <si>
    <t xml:space="preserve">scale_text "3,87,616 documents; 828 verifications" -&gt; "3,87,616 documents; 828 verifications (NIC statistics, 2026-10-14)"</t>
  </si>
  <si>
    <t xml:space="preserve">structure</t>
  </si>
  <si>
    <t xml:space="preserve">*</t>
  </si>
  <si>
    <t xml:space="preserve">Dataset restructured as a Frictionless Data Package: normalised tables (jurisdictions, bodies, projects, stage_events, challenges, sources, project_sources, nic_snapshots, vocabularies) with keys and controlled vocabularies.</t>
  </si>
  <si>
    <t xml:space="preserve">stage_events</t>
  </si>
  <si>
    <t xml:space="preserve">314 dated stage events (announced, pilot, live, scaled, latest update) with sources.</t>
  </si>
  <si>
    <t xml:space="preserve">challenges</t>
  </si>
  <si>
    <t xml:space="preserve">39 source-reported challenges coded on a TOE scheme (12 codes).</t>
  </si>
  <si>
    <t xml:space="preserve">nic_snapshots</t>
  </si>
  <si>
    <t xml:space="preserve">NIC platform time series: 23 Jul 2024 (Internet Archive), 14 Dec 2025 (totals), 3 Oct 2026, 14 Oct 2026.</t>
  </si>
  <si>
    <t xml:space="preserve">jurisdictions</t>
  </si>
  <si>
    <t xml:space="preserve">ISO 3166-2:IN codes (2023 revision) and LGD state codes for all 36 States/UTs.</t>
  </si>
  <si>
    <t xml:space="preserve">sources</t>
  </si>
  <si>
    <t xml:space="preserve">208 new sources found in v1.1 research.</t>
  </si>
  <si>
    <t xml:space="preserve">"Only an unverified claim in an opinion article" -&gt; "DOVE domicile-certificate verification (C-DAC, MeitY success story); a land-registry claim remains unverified."</t>
  </si>
</sst>
</file>

<file path=xl/styles.xml><?xml version="1.0" encoding="utf-8"?>
<styleSheet xmlns="http://schemas.openxmlformats.org/spreadsheetml/2006/main">
  <numFmts count="5">
    <numFmt numFmtId="164" formatCode="General"/>
    <numFmt numFmtId="165" formatCode="0.0%"/>
    <numFmt numFmtId="166" formatCode="0.00"/>
    <numFmt numFmtId="167" formatCode="0%"/>
    <numFmt numFmtId="168"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3"/>
      <name val="Arial"/>
      <family val="0"/>
      <charset val="1"/>
    </font>
    <font>
      <b val="true"/>
      <sz val="10"/>
      <color rgb="FFFFFFFF"/>
      <name val="Arial"/>
      <family val="0"/>
      <charset val="1"/>
    </font>
    <font>
      <b val="true"/>
      <sz val="10"/>
      <name val="Arial"/>
      <family val="0"/>
      <charset val="1"/>
    </font>
    <font>
      <i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DDEBF7"/>
        <bgColor rgb="FFEDEDED"/>
      </patternFill>
    </fill>
    <fill>
      <patternFill patternType="solid">
        <fgColor rgb="FFFCE4D6"/>
        <bgColor rgb="FFFFE5CC"/>
      </patternFill>
    </fill>
    <fill>
      <patternFill patternType="solid">
        <fgColor rgb="FFFFE5CC"/>
        <bgColor rgb="FFFCE4D6"/>
      </patternFill>
    </fill>
    <fill>
      <patternFill patternType="solid">
        <fgColor rgb="FFEDEDED"/>
        <bgColor rgb="FFDDEBF7"/>
      </patternFill>
    </fill>
    <fill>
      <patternFill patternType="solid">
        <fgColor rgb="FFBF8F00"/>
        <bgColor rgb="FF808000"/>
      </patternFill>
    </fill>
    <fill>
      <patternFill patternType="solid">
        <fgColor rgb="FFFFF2CC"/>
        <bgColor rgb="FFFFE5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8" fillId="8" borderId="1" xfId="0" applyFont="true" applyBorder="true" applyAlignment="true" applyProtection="false">
      <alignment horizontal="general" vertical="bottom"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E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CE4D6"/>
      <rgbColor rgb="FF99CCFF"/>
      <rgbColor rgb="FFFF99CC"/>
      <rgbColor rgb="FFCC99FF"/>
      <rgbColor rgb="FFFFE5CC"/>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43.5" hidden="false" customHeight="true" outlineLevel="0" collapsed="false">
      <c r="A4" s="2"/>
    </row>
    <row r="5" customFormat="false" ht="35.0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22"/>
  </cols>
  <sheetData>
    <row r="1" customFormat="false" ht="16.15" hidden="false" customHeight="false" outlineLevel="0" collapsed="false">
      <c r="A1" s="4" t="s">
        <v>17</v>
      </c>
    </row>
    <row r="3" customFormat="false" ht="15" hidden="false" customHeight="false" outlineLevel="0" collapsed="false">
      <c r="A3" s="5" t="s">
        <v>18</v>
      </c>
      <c r="B3" s="5" t="s">
        <v>19</v>
      </c>
      <c r="C3" s="5" t="s">
        <v>20</v>
      </c>
      <c r="D3" s="5" t="s">
        <v>21</v>
      </c>
      <c r="E3" s="5" t="s">
        <v>22</v>
      </c>
      <c r="F3" s="5" t="s">
        <v>23</v>
      </c>
      <c r="G3" s="5" t="s">
        <v>24</v>
      </c>
      <c r="H3" s="5" t="s">
        <v>25</v>
      </c>
    </row>
    <row r="4" customFormat="false" ht="15" hidden="false" customHeight="false" outlineLevel="0" collapsed="false">
      <c r="A4" s="6" t="s">
        <v>26</v>
      </c>
      <c r="B4" s="6" t="n">
        <f aca="false">COUNTIFS('All projects'!$AB$2:$AB$119,$A4,'All projects'!$E$2:$E$119,B$3,'All projects'!$D$2:$D$119,"active")</f>
        <v>19</v>
      </c>
      <c r="C4" s="6" t="n">
        <f aca="false">COUNTIFS('All projects'!$AB$2:$AB$119,$A4,'All projects'!$E$2:$E$119,C$3,'All projects'!$D$2:$D$119,"active")</f>
        <v>23</v>
      </c>
      <c r="D4" s="6" t="n">
        <f aca="false">COUNTIFS('All projects'!$AB$2:$AB$119,$A4,'All projects'!$E$2:$E$119,D$3,'All projects'!$D$2:$D$119,"active")</f>
        <v>5</v>
      </c>
      <c r="E4" s="6" t="n">
        <f aca="false">COUNTIFS('All projects'!$AB$2:$AB$119,$A4,'All projects'!$E$2:$E$119,E$3,'All projects'!$D$2:$D$119,"active")</f>
        <v>2</v>
      </c>
      <c r="F4" s="6" t="n">
        <f aca="false">COUNTIFS('All projects'!$AB$2:$AB$119,$A4,'All projects'!$E$2:$E$119,F$3,'All projects'!$D$2:$D$119,"active")</f>
        <v>1</v>
      </c>
      <c r="G4" s="6" t="n">
        <f aca="false">SUM(B4:F4)</f>
        <v>50</v>
      </c>
      <c r="H4" s="7" t="n">
        <f aca="false">IF($G$10=0,0,G4/$G$10)</f>
        <v>0.427350427350427</v>
      </c>
    </row>
    <row r="5" customFormat="false" ht="15" hidden="false" customHeight="false" outlineLevel="0" collapsed="false">
      <c r="A5" s="6" t="s">
        <v>27</v>
      </c>
      <c r="B5" s="6" t="n">
        <f aca="false">COUNTIFS('All projects'!$AB$2:$AB$119,$A5,'All projects'!$E$2:$E$119,B$3,'All projects'!$D$2:$D$119,"active")</f>
        <v>7</v>
      </c>
      <c r="C5" s="6" t="n">
        <f aca="false">COUNTIFS('All projects'!$AB$2:$AB$119,$A5,'All projects'!$E$2:$E$119,C$3,'All projects'!$D$2:$D$119,"active")</f>
        <v>9</v>
      </c>
      <c r="D5" s="6" t="n">
        <f aca="false">COUNTIFS('All projects'!$AB$2:$AB$119,$A5,'All projects'!$E$2:$E$119,D$3,'All projects'!$D$2:$D$119,"active")</f>
        <v>0</v>
      </c>
      <c r="E5" s="6" t="n">
        <f aca="false">COUNTIFS('All projects'!$AB$2:$AB$119,$A5,'All projects'!$E$2:$E$119,E$3,'All projects'!$D$2:$D$119,"active")</f>
        <v>0</v>
      </c>
      <c r="F5" s="6" t="n">
        <f aca="false">COUNTIFS('All projects'!$AB$2:$AB$119,$A5,'All projects'!$E$2:$E$119,F$3,'All projects'!$D$2:$D$119,"active")</f>
        <v>0</v>
      </c>
      <c r="G5" s="6" t="n">
        <f aca="false">SUM(B5:F5)</f>
        <v>16</v>
      </c>
      <c r="H5" s="7" t="n">
        <f aca="false">IF($G$10=0,0,G5/$G$10)</f>
        <v>0.136752136752137</v>
      </c>
    </row>
    <row r="6" customFormat="false" ht="15" hidden="false" customHeight="false" outlineLevel="0" collapsed="false">
      <c r="A6" s="6" t="s">
        <v>28</v>
      </c>
      <c r="B6" s="6" t="n">
        <f aca="false">COUNTIFS('All projects'!$AB$2:$AB$119,$A6,'All projects'!$E$2:$E$119,B$3,'All projects'!$D$2:$D$119,"active")</f>
        <v>4</v>
      </c>
      <c r="C6" s="6" t="n">
        <f aca="false">COUNTIFS('All projects'!$AB$2:$AB$119,$A6,'All projects'!$E$2:$E$119,C$3,'All projects'!$D$2:$D$119,"active")</f>
        <v>8</v>
      </c>
      <c r="D6" s="6" t="n">
        <f aca="false">COUNTIFS('All projects'!$AB$2:$AB$119,$A6,'All projects'!$E$2:$E$119,D$3,'All projects'!$D$2:$D$119,"active")</f>
        <v>0</v>
      </c>
      <c r="E6" s="6" t="n">
        <f aca="false">COUNTIFS('All projects'!$AB$2:$AB$119,$A6,'All projects'!$E$2:$E$119,E$3,'All projects'!$D$2:$D$119,"active")</f>
        <v>0</v>
      </c>
      <c r="F6" s="6" t="n">
        <f aca="false">COUNTIFS('All projects'!$AB$2:$AB$119,$A6,'All projects'!$E$2:$E$119,F$3,'All projects'!$D$2:$D$119,"active")</f>
        <v>1</v>
      </c>
      <c r="G6" s="6" t="n">
        <f aca="false">SUM(B6:F6)</f>
        <v>13</v>
      </c>
      <c r="H6" s="7" t="n">
        <f aca="false">IF($G$10=0,0,G6/$G$10)</f>
        <v>0.111111111111111</v>
      </c>
    </row>
    <row r="7" customFormat="false" ht="15" hidden="false" customHeight="false" outlineLevel="0" collapsed="false">
      <c r="A7" s="6" t="s">
        <v>29</v>
      </c>
      <c r="B7" s="6" t="n">
        <f aca="false">COUNTIFS('All projects'!$AB$2:$AB$119,$A7,'All projects'!$E$2:$E$119,B$3,'All projects'!$D$2:$D$119,"active")</f>
        <v>6</v>
      </c>
      <c r="C7" s="6" t="n">
        <f aca="false">COUNTIFS('All projects'!$AB$2:$AB$119,$A7,'All projects'!$E$2:$E$119,C$3,'All projects'!$D$2:$D$119,"active")</f>
        <v>4</v>
      </c>
      <c r="D7" s="6" t="n">
        <f aca="false">COUNTIFS('All projects'!$AB$2:$AB$119,$A7,'All projects'!$E$2:$E$119,D$3,'All projects'!$D$2:$D$119,"active")</f>
        <v>0</v>
      </c>
      <c r="E7" s="6" t="n">
        <f aca="false">COUNTIFS('All projects'!$AB$2:$AB$119,$A7,'All projects'!$E$2:$E$119,E$3,'All projects'!$D$2:$D$119,"active")</f>
        <v>1</v>
      </c>
      <c r="F7" s="6" t="n">
        <f aca="false">COUNTIFS('All projects'!$AB$2:$AB$119,$A7,'All projects'!$E$2:$E$119,F$3,'All projects'!$D$2:$D$119,"active")</f>
        <v>0</v>
      </c>
      <c r="G7" s="6" t="n">
        <f aca="false">SUM(B7:F7)</f>
        <v>11</v>
      </c>
      <c r="H7" s="7" t="n">
        <f aca="false">IF($G$10=0,0,G7/$G$10)</f>
        <v>0.094017094017094</v>
      </c>
    </row>
    <row r="8" customFormat="false" ht="15" hidden="false" customHeight="false" outlineLevel="0" collapsed="false">
      <c r="A8" s="6" t="s">
        <v>30</v>
      </c>
      <c r="B8" s="6" t="n">
        <f aca="false">COUNTIFS('All projects'!$AB$2:$AB$119,$A8,'All projects'!$E$2:$E$119,B$3,'All projects'!$D$2:$D$119,"active")</f>
        <v>3</v>
      </c>
      <c r="C8" s="6" t="n">
        <f aca="false">COUNTIFS('All projects'!$AB$2:$AB$119,$A8,'All projects'!$E$2:$E$119,C$3,'All projects'!$D$2:$D$119,"active")</f>
        <v>21</v>
      </c>
      <c r="D8" s="6" t="n">
        <f aca="false">COUNTIFS('All projects'!$AB$2:$AB$119,$A8,'All projects'!$E$2:$E$119,D$3,'All projects'!$D$2:$D$119,"active")</f>
        <v>1</v>
      </c>
      <c r="E8" s="6" t="n">
        <f aca="false">COUNTIFS('All projects'!$AB$2:$AB$119,$A8,'All projects'!$E$2:$E$119,E$3,'All projects'!$D$2:$D$119,"active")</f>
        <v>1</v>
      </c>
      <c r="F8" s="6" t="n">
        <f aca="false">COUNTIFS('All projects'!$AB$2:$AB$119,$A8,'All projects'!$E$2:$E$119,F$3,'All projects'!$D$2:$D$119,"active")</f>
        <v>1</v>
      </c>
      <c r="G8" s="6" t="n">
        <f aca="false">SUM(B8:F8)</f>
        <v>27</v>
      </c>
      <c r="H8" s="7" t="n">
        <f aca="false">IF($G$10=0,0,G8/$G$10)</f>
        <v>0.230769230769231</v>
      </c>
    </row>
    <row r="9" customFormat="false" ht="15" hidden="false" customHeight="false" outlineLevel="0" collapsed="false">
      <c r="A9" s="6" t="s">
        <v>31</v>
      </c>
      <c r="B9" s="6" t="n">
        <f aca="false">COUNTIFS('All projects'!$AB$2:$AB$119,$A9,'All projects'!$E$2:$E$119,B$3,'All projects'!$D$2:$D$119,"active")</f>
        <v>0</v>
      </c>
      <c r="C9" s="6" t="n">
        <f aca="false">COUNTIFS('All projects'!$AB$2:$AB$119,$A9,'All projects'!$E$2:$E$119,C$3,'All projects'!$D$2:$D$119,"active")</f>
        <v>0</v>
      </c>
      <c r="D9" s="6" t="n">
        <f aca="false">COUNTIFS('All projects'!$AB$2:$AB$119,$A9,'All projects'!$E$2:$E$119,D$3,'All projects'!$D$2:$D$119,"active")</f>
        <v>0</v>
      </c>
      <c r="E9" s="6" t="n">
        <f aca="false">COUNTIFS('All projects'!$AB$2:$AB$119,$A9,'All projects'!$E$2:$E$119,E$3,'All projects'!$D$2:$D$119,"active")</f>
        <v>0</v>
      </c>
      <c r="F9" s="6" t="n">
        <f aca="false">COUNTIFS('All projects'!$AB$2:$AB$119,$A9,'All projects'!$E$2:$E$119,F$3,'All projects'!$D$2:$D$119,"active")</f>
        <v>0</v>
      </c>
      <c r="G9" s="6" t="n">
        <f aca="false">SUM(B9:F9)</f>
        <v>0</v>
      </c>
      <c r="H9" s="7" t="n">
        <f aca="false">IF($G$10=0,0,G9/$G$10)</f>
        <v>0</v>
      </c>
    </row>
    <row r="10" customFormat="false" ht="15" hidden="false" customHeight="false" outlineLevel="0" collapsed="false">
      <c r="A10" s="8" t="s">
        <v>24</v>
      </c>
      <c r="B10" s="6" t="n">
        <f aca="false">SUM(B4:B9)</f>
        <v>39</v>
      </c>
      <c r="C10" s="6" t="n">
        <f aca="false">SUM(C4:C9)</f>
        <v>65</v>
      </c>
      <c r="D10" s="6" t="n">
        <f aca="false">SUM(D4:D9)</f>
        <v>6</v>
      </c>
      <c r="E10" s="6" t="n">
        <f aca="false">SUM(E4:E9)</f>
        <v>4</v>
      </c>
      <c r="F10" s="6" t="n">
        <f aca="false">SUM(F4:F9)</f>
        <v>3</v>
      </c>
      <c r="G10" s="6" t="n">
        <f aca="false">SUM(G4:G9)</f>
        <v>117</v>
      </c>
    </row>
    <row r="12" customFormat="false" ht="15" hidden="false" customHeight="false" outlineLevel="0" collapsed="false">
      <c r="A12" s="8" t="s">
        <v>32</v>
      </c>
      <c r="B12" s="7" t="n">
        <f aca="false">IFERROR(G4/(G4+G7+G8),0)</f>
        <v>0.568181818181818</v>
      </c>
    </row>
    <row r="13" customFormat="false" ht="15" hidden="false" customHeight="false" outlineLevel="0" collapsed="false">
      <c r="A13" s="8" t="s">
        <v>33</v>
      </c>
      <c r="B13" s="7" t="n">
        <f aca="false">COUNTIFS('All projects'!$AX$2:$AX$119,"&gt;=4",'All projects'!$D$2:$D$119,"active")/$G$10</f>
        <v>0.615384615384615</v>
      </c>
    </row>
    <row r="14" customFormat="false" ht="15" hidden="false" customHeight="false" outlineLevel="0" collapsed="false">
      <c r="A14" s="8" t="s">
        <v>34</v>
      </c>
      <c r="B14" s="9" t="n">
        <f aca="false">AVERAGEIFS('All projects'!$AX$2:$AX$119,'All projects'!$D$2:$D$119,"active")</f>
        <v>3.85470085470085</v>
      </c>
    </row>
    <row r="16" customFormat="false" ht="15" hidden="false" customHeight="false" outlineLevel="0" collapsed="false">
      <c r="A16" s="5" t="s">
        <v>35</v>
      </c>
      <c r="B16" s="5" t="s">
        <v>26</v>
      </c>
      <c r="C16" s="5" t="s">
        <v>36</v>
      </c>
      <c r="D16" s="5" t="s">
        <v>37</v>
      </c>
    </row>
    <row r="17" customFormat="false" ht="15" hidden="false" customHeight="false" outlineLevel="0" collapsed="false">
      <c r="A17" s="6" t="s">
        <v>38</v>
      </c>
      <c r="B17" s="6" t="n">
        <f aca="false">COUNTIFS('All projects'!$F$2:$F$119,$A17,'All projects'!$AB$2:$AB$119,"Implemented",'All projects'!$D$2:$D$119,"active")</f>
        <v>24</v>
      </c>
      <c r="C17" s="6" t="n">
        <f aca="false">COUNTIFS('All projects'!$F$2:$F$119,$A17,'All projects'!$D$2:$D$119,"active")</f>
        <v>50</v>
      </c>
      <c r="D17" s="10" t="n">
        <f aca="false">IF(C17=0,"",B17/C17)</f>
        <v>0.48</v>
      </c>
    </row>
    <row r="18" customFormat="false" ht="15" hidden="false" customHeight="false" outlineLevel="0" collapsed="false">
      <c r="A18" s="6" t="s">
        <v>39</v>
      </c>
      <c r="B18" s="6" t="n">
        <f aca="false">COUNTIFS('All projects'!$F$2:$F$119,$A18,'All projects'!$AB$2:$AB$119,"Implemented",'All projects'!$D$2:$D$119,"active")</f>
        <v>0</v>
      </c>
      <c r="C18" s="6" t="n">
        <f aca="false">COUNTIFS('All projects'!$F$2:$F$119,$A18,'All projects'!$D$2:$D$119,"active")</f>
        <v>4</v>
      </c>
      <c r="D18" s="10" t="n">
        <f aca="false">IF(C18=0,"",B18/C18)</f>
        <v>0</v>
      </c>
    </row>
    <row r="19" customFormat="false" ht="15" hidden="false" customHeight="false" outlineLevel="0" collapsed="false">
      <c r="A19" s="6" t="s">
        <v>40</v>
      </c>
      <c r="B19" s="6" t="n">
        <f aca="false">COUNTIFS('All projects'!$F$2:$F$119,$A19,'All projects'!$AB$2:$AB$119,"Implemented",'All projects'!$D$2:$D$119,"active")</f>
        <v>7</v>
      </c>
      <c r="C19" s="6" t="n">
        <f aca="false">COUNTIFS('All projects'!$F$2:$F$119,$A19,'All projects'!$D$2:$D$119,"active")</f>
        <v>13</v>
      </c>
      <c r="D19" s="10" t="n">
        <f aca="false">IF(C19=0,"",B19/C19)</f>
        <v>0.538461538461538</v>
      </c>
    </row>
    <row r="20" customFormat="false" ht="15" hidden="false" customHeight="false" outlineLevel="0" collapsed="false">
      <c r="A20" s="6" t="s">
        <v>41</v>
      </c>
      <c r="B20" s="6" t="n">
        <f aca="false">COUNTIFS('All projects'!$F$2:$F$119,$A20,'All projects'!$AB$2:$AB$119,"Implemented",'All projects'!$D$2:$D$119,"active")</f>
        <v>0</v>
      </c>
      <c r="C20" s="6" t="n">
        <f aca="false">COUNTIFS('All projects'!$F$2:$F$119,$A20,'All projects'!$D$2:$D$119,"active")</f>
        <v>5</v>
      </c>
      <c r="D20" s="10" t="n">
        <f aca="false">IF(C20=0,"",B20/C20)</f>
        <v>0</v>
      </c>
    </row>
    <row r="21" customFormat="false" ht="15" hidden="false" customHeight="false" outlineLevel="0" collapsed="false">
      <c r="A21" s="6" t="s">
        <v>42</v>
      </c>
      <c r="B21" s="6" t="n">
        <f aca="false">COUNTIFS('All projects'!$F$2:$F$119,$A21,'All projects'!$AB$2:$AB$119,"Implemented",'All projects'!$D$2:$D$119,"active")</f>
        <v>2</v>
      </c>
      <c r="C21" s="6" t="n">
        <f aca="false">COUNTIFS('All projects'!$F$2:$F$119,$A21,'All projects'!$D$2:$D$119,"active")</f>
        <v>6</v>
      </c>
      <c r="D21" s="10" t="n">
        <f aca="false">IF(C21=0,"",B21/C21)</f>
        <v>0.333333333333333</v>
      </c>
    </row>
    <row r="22" customFormat="false" ht="15" hidden="false" customHeight="false" outlineLevel="0" collapsed="false">
      <c r="A22" s="6" t="s">
        <v>43</v>
      </c>
      <c r="B22" s="6" t="n">
        <f aca="false">COUNTIFS('All projects'!$F$2:$F$119,$A22,'All projects'!$AB$2:$AB$119,"Implemented",'All projects'!$D$2:$D$119,"active")</f>
        <v>2</v>
      </c>
      <c r="C22" s="6" t="n">
        <f aca="false">COUNTIFS('All projects'!$F$2:$F$119,$A22,'All projects'!$D$2:$D$119,"active")</f>
        <v>7</v>
      </c>
      <c r="D22" s="10" t="n">
        <f aca="false">IF(C22=0,"",B22/C22)</f>
        <v>0.285714285714286</v>
      </c>
    </row>
    <row r="23" customFormat="false" ht="15" hidden="false" customHeight="false" outlineLevel="0" collapsed="false">
      <c r="A23" s="6" t="s">
        <v>44</v>
      </c>
      <c r="B23" s="6" t="n">
        <f aca="false">COUNTIFS('All projects'!$F$2:$F$119,$A23,'All projects'!$AB$2:$AB$119,"Implemented",'All projects'!$D$2:$D$119,"active")</f>
        <v>2</v>
      </c>
      <c r="C23" s="6" t="n">
        <f aca="false">COUNTIFS('All projects'!$F$2:$F$119,$A23,'All projects'!$D$2:$D$119,"active")</f>
        <v>4</v>
      </c>
      <c r="D23" s="10" t="n">
        <f aca="false">IF(C23=0,"",B23/C23)</f>
        <v>0.5</v>
      </c>
    </row>
    <row r="24" customFormat="false" ht="15" hidden="false" customHeight="false" outlineLevel="0" collapsed="false">
      <c r="A24" s="6" t="s">
        <v>45</v>
      </c>
      <c r="B24" s="6" t="n">
        <f aca="false">COUNTIFS('All projects'!$F$2:$F$119,$A24,'All projects'!$AB$2:$AB$119,"Implemented",'All projects'!$D$2:$D$119,"active")</f>
        <v>0</v>
      </c>
      <c r="C24" s="6" t="n">
        <f aca="false">COUNTIFS('All projects'!$F$2:$F$119,$A24,'All projects'!$D$2:$D$119,"active")</f>
        <v>3</v>
      </c>
      <c r="D24" s="10" t="n">
        <f aca="false">IF(C24=0,"",B24/C24)</f>
        <v>0</v>
      </c>
    </row>
    <row r="25" customFormat="false" ht="15" hidden="false" customHeight="false" outlineLevel="0" collapsed="false">
      <c r="A25" s="6" t="s">
        <v>46</v>
      </c>
      <c r="B25" s="6" t="n">
        <f aca="false">COUNTIFS('All projects'!$F$2:$F$119,$A25,'All projects'!$AB$2:$AB$119,"Implemented",'All projects'!$D$2:$D$119,"active")</f>
        <v>5</v>
      </c>
      <c r="C25" s="6" t="n">
        <f aca="false">COUNTIFS('All projects'!$F$2:$F$119,$A25,'All projects'!$D$2:$D$119,"active")</f>
        <v>11</v>
      </c>
      <c r="D25" s="10" t="n">
        <f aca="false">IF(C25=0,"",B25/C25)</f>
        <v>0.454545454545455</v>
      </c>
    </row>
    <row r="26" customFormat="false" ht="15" hidden="false" customHeight="false" outlineLevel="0" collapsed="false">
      <c r="A26" s="6" t="s">
        <v>47</v>
      </c>
      <c r="B26" s="6" t="n">
        <f aca="false">COUNTIFS('All projects'!$F$2:$F$119,$A26,'All projects'!$AB$2:$AB$119,"Implemented",'All projects'!$D$2:$D$119,"active")</f>
        <v>4</v>
      </c>
      <c r="C26" s="6" t="n">
        <f aca="false">COUNTIFS('All projects'!$F$2:$F$119,$A26,'All projects'!$D$2:$D$119,"active")</f>
        <v>6</v>
      </c>
      <c r="D26" s="10" t="n">
        <f aca="false">IF(C26=0,"",B26/C26)</f>
        <v>0.666666666666667</v>
      </c>
    </row>
    <row r="27" customFormat="false" ht="15" hidden="false" customHeight="false" outlineLevel="0" collapsed="false">
      <c r="A27" s="6" t="s">
        <v>48</v>
      </c>
      <c r="B27" s="6" t="n">
        <f aca="false">COUNTIFS('All projects'!$F$2:$F$119,$A27,'All projects'!$AB$2:$AB$119,"Implemented",'All projects'!$D$2:$D$119,"active")</f>
        <v>1</v>
      </c>
      <c r="C27" s="6" t="n">
        <f aca="false">COUNTIFS('All projects'!$F$2:$F$119,$A27,'All projects'!$D$2:$D$119,"active")</f>
        <v>1</v>
      </c>
      <c r="D27" s="10" t="n">
        <f aca="false">IF(C27=0,"",B27/C27)</f>
        <v>1</v>
      </c>
    </row>
    <row r="28" customFormat="false" ht="15" hidden="false" customHeight="false" outlineLevel="0" collapsed="false">
      <c r="A28" s="6" t="s">
        <v>49</v>
      </c>
      <c r="B28" s="6" t="n">
        <f aca="false">COUNTIFS('All projects'!$F$2:$F$119,$A28,'All projects'!$AB$2:$AB$119,"Implemented",'All projects'!$D$2:$D$119,"active")</f>
        <v>2</v>
      </c>
      <c r="C28" s="6" t="n">
        <f aca="false">COUNTIFS('All projects'!$F$2:$F$119,$A28,'All projects'!$D$2:$D$119,"active")</f>
        <v>4</v>
      </c>
      <c r="D28" s="10" t="n">
        <f aca="false">IF(C28=0,"",B28/C28)</f>
        <v>0.5</v>
      </c>
    </row>
    <row r="29" customFormat="false" ht="15" hidden="false" customHeight="false" outlineLevel="0" collapsed="false">
      <c r="A29" s="6" t="s">
        <v>50</v>
      </c>
      <c r="B29" s="6" t="n">
        <f aca="false">COUNTIFS('All projects'!$F$2:$F$119,$A29,'All projects'!$AB$2:$AB$119,"Implemented",'All projects'!$D$2:$D$119,"active")</f>
        <v>1</v>
      </c>
      <c r="C29" s="6" t="n">
        <f aca="false">COUNTIFS('All projects'!$F$2:$F$119,$A29,'All projects'!$D$2:$D$119,"active")</f>
        <v>3</v>
      </c>
      <c r="D29" s="10" t="n">
        <f aca="false">IF(C29=0,"",B29/C29)</f>
        <v>0.333333333333333</v>
      </c>
    </row>
    <row r="31" customFormat="false" ht="15" hidden="false" customHeight="false" outlineLevel="0" collapsed="false">
      <c r="A31" s="5" t="s">
        <v>51</v>
      </c>
      <c r="B31" s="5" t="s">
        <v>26</v>
      </c>
      <c r="C31" s="5" t="s">
        <v>36</v>
      </c>
      <c r="D31" s="5" t="s">
        <v>37</v>
      </c>
    </row>
    <row r="32" customFormat="false" ht="15" hidden="false" customHeight="false" outlineLevel="0" collapsed="false">
      <c r="A32" s="6" t="s">
        <v>52</v>
      </c>
      <c r="B32" s="6" t="n">
        <f aca="false">COUNTIFS('All projects'!$Z$2:$Z$119,$A32,'All projects'!$AB$2:$AB$119,"Implemented",'All projects'!$D$2:$D$119,"active")</f>
        <v>31</v>
      </c>
      <c r="C32" s="6" t="n">
        <f aca="false">COUNTIFS('All projects'!$Z$2:$Z$119,$A32,'All projects'!$D$2:$D$119,"active")</f>
        <v>43</v>
      </c>
      <c r="D32" s="10" t="n">
        <f aca="false">IF(C32=0,"",B32/C32)</f>
        <v>0.72093023255814</v>
      </c>
    </row>
    <row r="33" customFormat="false" ht="15" hidden="false" customHeight="false" outlineLevel="0" collapsed="false">
      <c r="A33" s="6" t="s">
        <v>53</v>
      </c>
      <c r="B33" s="6" t="n">
        <f aca="false">COUNTIFS('All projects'!$Z$2:$Z$119,$A33,'All projects'!$AB$2:$AB$119,"Implemented",'All projects'!$D$2:$D$119,"active")</f>
        <v>1</v>
      </c>
      <c r="C33" s="6" t="n">
        <f aca="false">COUNTIFS('All projects'!$Z$2:$Z$119,$A33,'All projects'!$D$2:$D$119,"active")</f>
        <v>5</v>
      </c>
      <c r="D33" s="10" t="n">
        <f aca="false">IF(C33=0,"",B33/C33)</f>
        <v>0.2</v>
      </c>
    </row>
    <row r="34" customFormat="false" ht="15" hidden="false" customHeight="false" outlineLevel="0" collapsed="false">
      <c r="A34" s="6" t="s">
        <v>54</v>
      </c>
      <c r="B34" s="6" t="n">
        <f aca="false">COUNTIFS('All projects'!$Z$2:$Z$119,$A34,'All projects'!$AB$2:$AB$119,"Implemented",'All projects'!$D$2:$D$119,"active")</f>
        <v>9</v>
      </c>
      <c r="C34" s="6" t="n">
        <f aca="false">COUNTIFS('All projects'!$Z$2:$Z$119,$A34,'All projects'!$D$2:$D$119,"active")</f>
        <v>30</v>
      </c>
      <c r="D34" s="10" t="n">
        <f aca="false">IF(C34=0,"",B34/C34)</f>
        <v>0.3</v>
      </c>
    </row>
    <row r="35" customFormat="false" ht="15" hidden="false" customHeight="false" outlineLevel="0" collapsed="false">
      <c r="A35" s="6" t="s">
        <v>55</v>
      </c>
      <c r="B35" s="6" t="n">
        <f aca="false">COUNTIFS('All projects'!$Z$2:$Z$119,$A35,'All projects'!$AB$2:$AB$119,"Implemented",'All projects'!$D$2:$D$119,"active")</f>
        <v>3</v>
      </c>
      <c r="C35" s="6" t="n">
        <f aca="false">COUNTIFS('All projects'!$Z$2:$Z$119,$A35,'All projects'!$D$2:$D$119,"active")</f>
        <v>8</v>
      </c>
      <c r="D35" s="10" t="n">
        <f aca="false">IF(C35=0,"",B35/C35)</f>
        <v>0.375</v>
      </c>
    </row>
    <row r="36" customFormat="false" ht="15" hidden="false" customHeight="false" outlineLevel="0" collapsed="false">
      <c r="A36" s="6" t="s">
        <v>56</v>
      </c>
      <c r="B36" s="6" t="n">
        <f aca="false">COUNTIFS('All projects'!$Z$2:$Z$119,$A36,'All projects'!$AB$2:$AB$119,"Implemented",'All projects'!$D$2:$D$119,"active")</f>
        <v>2</v>
      </c>
      <c r="C36" s="6" t="n">
        <f aca="false">COUNTIFS('All projects'!$Z$2:$Z$119,$A36,'All projects'!$D$2:$D$119,"active")</f>
        <v>6</v>
      </c>
      <c r="D36" s="10" t="n">
        <f aca="false">IF(C36=0,"",B36/C36)</f>
        <v>0.333333333333333</v>
      </c>
    </row>
    <row r="37" customFormat="false" ht="15" hidden="false" customHeight="false" outlineLevel="0" collapsed="false">
      <c r="A37" s="6" t="s">
        <v>57</v>
      </c>
      <c r="B37" s="6" t="n">
        <f aca="false">COUNTIFS('All projects'!$Z$2:$Z$119,$A37,'All projects'!$AB$2:$AB$119,"Implemented",'All projects'!$D$2:$D$119,"active")</f>
        <v>3</v>
      </c>
      <c r="C37" s="6" t="n">
        <f aca="false">COUNTIFS('All projects'!$Z$2:$Z$119,$A37,'All projects'!$D$2:$D$119,"active")</f>
        <v>4</v>
      </c>
      <c r="D37" s="10" t="n">
        <f aca="false">IF(C37=0,"",B37/C37)</f>
        <v>0.75</v>
      </c>
    </row>
    <row r="38" customFormat="false" ht="15" hidden="false" customHeight="false" outlineLevel="0" collapsed="false">
      <c r="A38" s="6" t="s">
        <v>58</v>
      </c>
      <c r="B38" s="6" t="n">
        <f aca="false">COUNTIFS('All projects'!$Z$2:$Z$119,$A38,'All projects'!$AB$2:$AB$119,"Implemented",'All projects'!$D$2:$D$119,"active")</f>
        <v>0</v>
      </c>
      <c r="C38" s="6" t="n">
        <f aca="false">COUNTIFS('All projects'!$Z$2:$Z$119,$A38,'All projects'!$D$2:$D$119,"active")</f>
        <v>2</v>
      </c>
      <c r="D38" s="10" t="n">
        <f aca="false">IF(C38=0,"",B38/C38)</f>
        <v>0</v>
      </c>
    </row>
    <row r="39" customFormat="false" ht="15" hidden="false" customHeight="false" outlineLevel="0" collapsed="false">
      <c r="A39" s="6" t="s">
        <v>59</v>
      </c>
      <c r="B39" s="6" t="n">
        <f aca="false">COUNTIFS('All projects'!$Z$2:$Z$119,$A39,'All projects'!$AB$2:$AB$119,"Implemented",'All projects'!$D$2:$D$119,"active")</f>
        <v>0</v>
      </c>
      <c r="C39" s="6" t="n">
        <f aca="false">COUNTIFS('All projects'!$Z$2:$Z$119,$A39,'All projects'!$D$2:$D$119,"active")</f>
        <v>2</v>
      </c>
      <c r="D39" s="10" t="n">
        <f aca="false">IF(C39=0,"",B39/C39)</f>
        <v>0</v>
      </c>
    </row>
    <row r="40" customFormat="false" ht="15" hidden="false" customHeight="false" outlineLevel="0" collapsed="false">
      <c r="A40" s="6" t="s">
        <v>60</v>
      </c>
      <c r="B40" s="6" t="n">
        <f aca="false">COUNTIFS('All projects'!$Z$2:$Z$119,$A40,'All projects'!$AB$2:$AB$119,"Implemented",'All projects'!$D$2:$D$119,"active")</f>
        <v>1</v>
      </c>
      <c r="C40" s="6" t="n">
        <f aca="false">COUNTIFS('All projects'!$Z$2:$Z$119,$A40,'All projects'!$D$2:$D$119,"active")</f>
        <v>17</v>
      </c>
      <c r="D40" s="10" t="n">
        <f aca="false">IF(C40=0,"",B40/C40)</f>
        <v>0.0588235294117647</v>
      </c>
    </row>
    <row r="42" customFormat="false" ht="15" hidden="false" customHeight="false" outlineLevel="0" collapsed="false">
      <c r="A42" s="5" t="s">
        <v>61</v>
      </c>
      <c r="B42" s="5" t="s">
        <v>26</v>
      </c>
      <c r="C42" s="5" t="s">
        <v>36</v>
      </c>
      <c r="D42" s="5" t="s">
        <v>37</v>
      </c>
    </row>
    <row r="43" customFormat="false" ht="15" hidden="false" customHeight="false" outlineLevel="0" collapsed="false">
      <c r="A43" s="6" t="s">
        <v>62</v>
      </c>
      <c r="B43" s="6" t="n">
        <f aca="false">COUNTIFS('All projects'!$M$2:$M$119,$A43,'All projects'!$AB$2:$AB$119,"Implemented",'All projects'!$D$2:$D$119,"active")</f>
        <v>4</v>
      </c>
      <c r="C43" s="6" t="n">
        <f aca="false">COUNTIFS('All projects'!$M$2:$M$119,$A43,'All projects'!$D$2:$D$119,"active")</f>
        <v>10</v>
      </c>
      <c r="D43" s="10" t="n">
        <f aca="false">IF(C43=0,"",B43/C43)</f>
        <v>0.4</v>
      </c>
    </row>
    <row r="44" customFormat="false" ht="15" hidden="false" customHeight="false" outlineLevel="0" collapsed="false">
      <c r="A44" s="6" t="s">
        <v>63</v>
      </c>
      <c r="B44" s="6" t="n">
        <f aca="false">COUNTIFS('All projects'!$M$2:$M$119,$A44,'All projects'!$AB$2:$AB$119,"Implemented",'All projects'!$D$2:$D$119,"active")</f>
        <v>4</v>
      </c>
      <c r="C44" s="6" t="n">
        <f aca="false">COUNTIFS('All projects'!$M$2:$M$119,$A44,'All projects'!$D$2:$D$119,"active")</f>
        <v>11</v>
      </c>
      <c r="D44" s="10" t="n">
        <f aca="false">IF(C44=0,"",B44/C44)</f>
        <v>0.363636363636364</v>
      </c>
    </row>
    <row r="45" customFormat="false" ht="15" hidden="false" customHeight="false" outlineLevel="0" collapsed="false">
      <c r="A45" s="6" t="s">
        <v>64</v>
      </c>
      <c r="B45" s="6" t="n">
        <f aca="false">COUNTIFS('All projects'!$M$2:$M$119,$A45,'All projects'!$AB$2:$AB$119,"Implemented",'All projects'!$D$2:$D$119,"active")</f>
        <v>2</v>
      </c>
      <c r="C45" s="6" t="n">
        <f aca="false">COUNTIFS('All projects'!$M$2:$M$119,$A45,'All projects'!$D$2:$D$119,"active")</f>
        <v>9</v>
      </c>
      <c r="D45" s="10" t="n">
        <f aca="false">IF(C45=0,"",B45/C45)</f>
        <v>0.222222222222222</v>
      </c>
    </row>
    <row r="46" customFormat="false" ht="15" hidden="false" customHeight="false" outlineLevel="0" collapsed="false">
      <c r="A46" s="6" t="s">
        <v>65</v>
      </c>
      <c r="B46" s="6" t="n">
        <f aca="false">COUNTIFS('All projects'!$M$2:$M$119,$A46,'All projects'!$AB$2:$AB$119,"Implemented",'All projects'!$D$2:$D$119,"active")</f>
        <v>5</v>
      </c>
      <c r="C46" s="6" t="n">
        <f aca="false">COUNTIFS('All projects'!$M$2:$M$119,$A46,'All projects'!$D$2:$D$119,"active")</f>
        <v>14</v>
      </c>
      <c r="D46" s="10" t="n">
        <f aca="false">IF(C46=0,"",B46/C46)</f>
        <v>0.357142857142857</v>
      </c>
    </row>
    <row r="47" customFormat="false" ht="15" hidden="false" customHeight="false" outlineLevel="0" collapsed="false">
      <c r="A47" s="6" t="s">
        <v>66</v>
      </c>
      <c r="B47" s="6" t="n">
        <f aca="false">COUNTIFS('All projects'!$M$2:$M$119,$A47,'All projects'!$AB$2:$AB$119,"Implemented",'All projects'!$D$2:$D$119,"active")</f>
        <v>14</v>
      </c>
      <c r="C47" s="6" t="n">
        <f aca="false">COUNTIFS('All projects'!$M$2:$M$119,$A47,'All projects'!$D$2:$D$119,"active")</f>
        <v>29</v>
      </c>
      <c r="D47" s="10" t="n">
        <f aca="false">IF(C47=0,"",B47/C47)</f>
        <v>0.482758620689655</v>
      </c>
    </row>
    <row r="48" customFormat="false" ht="15" hidden="false" customHeight="false" outlineLevel="0" collapsed="false">
      <c r="A48" s="6" t="s">
        <v>67</v>
      </c>
      <c r="B48" s="6" t="n">
        <f aca="false">COUNTIFS('All projects'!$M$2:$M$119,$A48,'All projects'!$AB$2:$AB$119,"Implemented",'All projects'!$D$2:$D$119,"active")</f>
        <v>2</v>
      </c>
      <c r="C48" s="6" t="n">
        <f aca="false">COUNTIFS('All projects'!$M$2:$M$119,$A48,'All projects'!$D$2:$D$119,"active")</f>
        <v>5</v>
      </c>
      <c r="D48" s="10" t="n">
        <f aca="false">IF(C48=0,"",B48/C48)</f>
        <v>0.4</v>
      </c>
    </row>
    <row r="49" customFormat="false" ht="15" hidden="false" customHeight="false" outlineLevel="0" collapsed="false">
      <c r="A49" s="6" t="s">
        <v>68</v>
      </c>
      <c r="B49" s="6" t="n">
        <f aca="false">COUNTIFS('All projects'!$M$2:$M$119,$A49,'All projects'!$AB$2:$AB$119,"Implemented",'All projects'!$D$2:$D$119,"active")</f>
        <v>0</v>
      </c>
      <c r="C49" s="6" t="n">
        <f aca="false">COUNTIFS('All projects'!$M$2:$M$119,$A49,'All projects'!$D$2:$D$119,"active")</f>
        <v>0</v>
      </c>
      <c r="D49" s="10" t="str">
        <f aca="false">IF(C49=0,"",B49/C49)</f>
        <v/>
      </c>
    </row>
    <row r="50" customFormat="false" ht="15" hidden="false" customHeight="false" outlineLevel="0" collapsed="false">
      <c r="A50" s="6" t="s">
        <v>69</v>
      </c>
      <c r="B50" s="6" t="n">
        <f aca="false">COUNTIFS('All projects'!$M$2:$M$119,$A50,'All projects'!$AB$2:$AB$119,"Implemented",'All projects'!$D$2:$D$119,"active")</f>
        <v>19</v>
      </c>
      <c r="C50" s="6" t="n">
        <f aca="false">COUNTIFS('All projects'!$M$2:$M$119,$A50,'All projects'!$D$2:$D$119,"active")</f>
        <v>39</v>
      </c>
      <c r="D50" s="10" t="n">
        <f aca="false">IF(C50=0,"",B50/C50)</f>
        <v>0.487179487179487</v>
      </c>
    </row>
    <row r="52" customFormat="false" ht="15" hidden="false" customHeight="false" outlineLevel="0" collapsed="false">
      <c r="A52" s="5" t="s">
        <v>70</v>
      </c>
      <c r="B52" s="5" t="s">
        <v>26</v>
      </c>
      <c r="C52" s="5" t="s">
        <v>36</v>
      </c>
      <c r="D52" s="5" t="s">
        <v>37</v>
      </c>
    </row>
    <row r="53" customFormat="false" ht="15" hidden="false" customHeight="false" outlineLevel="0" collapsed="false">
      <c r="A53" s="6" t="s">
        <v>71</v>
      </c>
      <c r="B53" s="6" t="n">
        <f aca="false">COUNTIFS('All projects'!$R$2:$R$119,$A53,'All projects'!$AB$2:$AB$119,"Implemented",'All projects'!$D$2:$D$119,"active")</f>
        <v>3</v>
      </c>
      <c r="C53" s="6" t="n">
        <f aca="false">COUNTIFS('All projects'!$R$2:$R$119,$A53,'All projects'!$D$2:$D$119,"active")</f>
        <v>3</v>
      </c>
      <c r="D53" s="10" t="n">
        <f aca="false">IF(C53=0,"",B53/C53)</f>
        <v>1</v>
      </c>
    </row>
    <row r="54" customFormat="false" ht="15" hidden="false" customHeight="false" outlineLevel="0" collapsed="false">
      <c r="A54" s="6" t="s">
        <v>72</v>
      </c>
      <c r="B54" s="6" t="n">
        <f aca="false">COUNTIFS('All projects'!$R$2:$R$119,$A54,'All projects'!$AB$2:$AB$119,"Implemented",'All projects'!$D$2:$D$119,"active")</f>
        <v>0</v>
      </c>
      <c r="C54" s="6" t="n">
        <f aca="false">COUNTIFS('All projects'!$R$2:$R$119,$A54,'All projects'!$D$2:$D$119,"active")</f>
        <v>1</v>
      </c>
      <c r="D54" s="10" t="n">
        <f aca="false">IF(C54=0,"",B54/C54)</f>
        <v>0</v>
      </c>
    </row>
    <row r="55" customFormat="false" ht="15" hidden="false" customHeight="false" outlineLevel="0" collapsed="false">
      <c r="A55" s="6" t="s">
        <v>73</v>
      </c>
      <c r="B55" s="6" t="n">
        <f aca="false">COUNTIFS('All projects'!$R$2:$R$119,$A55,'All projects'!$AB$2:$AB$119,"Implemented",'All projects'!$D$2:$D$119,"active")</f>
        <v>20</v>
      </c>
      <c r="C55" s="6" t="n">
        <f aca="false">COUNTIFS('All projects'!$R$2:$R$119,$A55,'All projects'!$D$2:$D$119,"active")</f>
        <v>28</v>
      </c>
      <c r="D55" s="10" t="n">
        <f aca="false">IF(C55=0,"",B55/C55)</f>
        <v>0.714285714285714</v>
      </c>
    </row>
    <row r="56" customFormat="false" ht="15" hidden="false" customHeight="false" outlineLevel="0" collapsed="false">
      <c r="A56" s="6" t="s">
        <v>74</v>
      </c>
      <c r="B56" s="6" t="n">
        <f aca="false">COUNTIFS('All projects'!$R$2:$R$119,$A56,'All projects'!$AB$2:$AB$119,"Implemented",'All projects'!$D$2:$D$119,"active")</f>
        <v>0</v>
      </c>
      <c r="C56" s="6" t="n">
        <f aca="false">COUNTIFS('All projects'!$R$2:$R$119,$A56,'All projects'!$D$2:$D$119,"active")</f>
        <v>3</v>
      </c>
      <c r="D56" s="10" t="n">
        <f aca="false">IF(C56=0,"",B56/C56)</f>
        <v>0</v>
      </c>
    </row>
    <row r="57" customFormat="false" ht="15" hidden="false" customHeight="false" outlineLevel="0" collapsed="false">
      <c r="A57" s="6" t="s">
        <v>75</v>
      </c>
      <c r="B57" s="6" t="n">
        <f aca="false">COUNTIFS('All projects'!$R$2:$R$119,$A57,'All projects'!$AB$2:$AB$119,"Implemented",'All projects'!$D$2:$D$119,"active")</f>
        <v>0</v>
      </c>
      <c r="C57" s="6" t="n">
        <f aca="false">COUNTIFS('All projects'!$R$2:$R$119,$A57,'All projects'!$D$2:$D$119,"active")</f>
        <v>2</v>
      </c>
      <c r="D57" s="10" t="n">
        <f aca="false">IF(C57=0,"",B57/C57)</f>
        <v>0</v>
      </c>
    </row>
    <row r="58" customFormat="false" ht="15" hidden="false" customHeight="false" outlineLevel="0" collapsed="false">
      <c r="A58" s="6" t="s">
        <v>76</v>
      </c>
      <c r="B58" s="6" t="n">
        <f aca="false">COUNTIFS('All projects'!$R$2:$R$119,$A58,'All projects'!$AB$2:$AB$119,"Implemented",'All projects'!$D$2:$D$119,"active")</f>
        <v>1</v>
      </c>
      <c r="C58" s="6" t="n">
        <f aca="false">COUNTIFS('All projects'!$R$2:$R$119,$A58,'All projects'!$D$2:$D$119,"active")</f>
        <v>5</v>
      </c>
      <c r="D58" s="10" t="n">
        <f aca="false">IF(C58=0,"",B58/C58)</f>
        <v>0.2</v>
      </c>
    </row>
    <row r="59" customFormat="false" ht="15" hidden="false" customHeight="false" outlineLevel="0" collapsed="false">
      <c r="A59" s="6" t="s">
        <v>77</v>
      </c>
      <c r="B59" s="6" t="n">
        <f aca="false">COUNTIFS('All projects'!$R$2:$R$119,$A59,'All projects'!$AB$2:$AB$119,"Implemented",'All projects'!$D$2:$D$119,"active")</f>
        <v>5</v>
      </c>
      <c r="C59" s="6" t="n">
        <f aca="false">COUNTIFS('All projects'!$R$2:$R$119,$A59,'All projects'!$D$2:$D$119,"active")</f>
        <v>22</v>
      </c>
      <c r="D59" s="10" t="n">
        <f aca="false">IF(C59=0,"",B59/C59)</f>
        <v>0.227272727272727</v>
      </c>
    </row>
    <row r="60" customFormat="false" ht="15" hidden="false" customHeight="false" outlineLevel="0" collapsed="false">
      <c r="A60" s="6" t="s">
        <v>78</v>
      </c>
      <c r="B60" s="6" t="n">
        <f aca="false">COUNTIFS('All projects'!$R$2:$R$119,$A60,'All projects'!$AB$2:$AB$119,"Implemented",'All projects'!$D$2:$D$119,"active")</f>
        <v>8</v>
      </c>
      <c r="C60" s="6" t="n">
        <f aca="false">COUNTIFS('All projects'!$R$2:$R$119,$A60,'All projects'!$D$2:$D$119,"active")</f>
        <v>19</v>
      </c>
      <c r="D60" s="10" t="n">
        <f aca="false">IF(C60=0,"",B60/C60)</f>
        <v>0.421052631578947</v>
      </c>
    </row>
    <row r="61" customFormat="false" ht="15" hidden="false" customHeight="false" outlineLevel="0" collapsed="false">
      <c r="A61" s="6" t="s">
        <v>79</v>
      </c>
      <c r="B61" s="6" t="n">
        <f aca="false">COUNTIFS('All projects'!$R$2:$R$119,$A61,'All projects'!$AB$2:$AB$119,"Implemented",'All projects'!$D$2:$D$119,"active")</f>
        <v>0</v>
      </c>
      <c r="C61" s="6" t="n">
        <f aca="false">COUNTIFS('All projects'!$R$2:$R$119,$A61,'All projects'!$D$2:$D$119,"active")</f>
        <v>1</v>
      </c>
      <c r="D61" s="10" t="n">
        <f aca="false">IF(C61=0,"",B61/C61)</f>
        <v>0</v>
      </c>
    </row>
    <row r="62" customFormat="false" ht="15" hidden="false" customHeight="false" outlineLevel="0" collapsed="false">
      <c r="A62" s="6" t="s">
        <v>80</v>
      </c>
      <c r="B62" s="6" t="n">
        <f aca="false">COUNTIFS('All projects'!$R$2:$R$119,$A62,'All projects'!$AB$2:$AB$119,"Implemented",'All projects'!$D$2:$D$119,"active")</f>
        <v>5</v>
      </c>
      <c r="C62" s="6" t="n">
        <f aca="false">COUNTIFS('All projects'!$R$2:$R$119,$A62,'All projects'!$D$2:$D$119,"active")</f>
        <v>11</v>
      </c>
      <c r="D62" s="10" t="n">
        <f aca="false">IF(C62=0,"",B62/C62)</f>
        <v>0.454545454545455</v>
      </c>
    </row>
    <row r="63" customFormat="false" ht="15" hidden="false" customHeight="false" outlineLevel="0" collapsed="false">
      <c r="A63" s="6" t="s">
        <v>81</v>
      </c>
      <c r="B63" s="6" t="n">
        <f aca="false">COUNTIFS('All projects'!$R$2:$R$119,$A63,'All projects'!$AB$2:$AB$119,"Implemented",'All projects'!$D$2:$D$119,"active")</f>
        <v>4</v>
      </c>
      <c r="C63" s="6" t="n">
        <f aca="false">COUNTIFS('All projects'!$R$2:$R$119,$A63,'All projects'!$D$2:$D$119,"active")</f>
        <v>12</v>
      </c>
      <c r="D63" s="10" t="n">
        <f aca="false">IF(C63=0,"",B63/C63)</f>
        <v>0.333333333333333</v>
      </c>
    </row>
    <row r="64" customFormat="false" ht="15" hidden="false" customHeight="false" outlineLevel="0" collapsed="false">
      <c r="A64" s="6" t="s">
        <v>82</v>
      </c>
      <c r="B64" s="6" t="n">
        <f aca="false">COUNTIFS('All projects'!$R$2:$R$119,$A64,'All projects'!$AB$2:$AB$119,"Implemented",'All projects'!$D$2:$D$119,"active")</f>
        <v>2</v>
      </c>
      <c r="C64" s="6" t="n">
        <f aca="false">COUNTIFS('All projects'!$R$2:$R$119,$A64,'All projects'!$D$2:$D$119,"active")</f>
        <v>4</v>
      </c>
      <c r="D64" s="10" t="n">
        <f aca="false">IF(C64=0,"",B64/C64)</f>
        <v>0.5</v>
      </c>
    </row>
    <row r="65" customFormat="false" ht="15" hidden="false" customHeight="false" outlineLevel="0" collapsed="false">
      <c r="A65" s="6" t="s">
        <v>83</v>
      </c>
      <c r="B65" s="6" t="n">
        <f aca="false">COUNTIFS('All projects'!$R$2:$R$119,$A65,'All projects'!$AB$2:$AB$119,"Implemented",'All projects'!$D$2:$D$119,"active")</f>
        <v>2</v>
      </c>
      <c r="C65" s="6" t="n">
        <f aca="false">COUNTIFS('All projects'!$R$2:$R$119,$A65,'All projects'!$D$2:$D$119,"active")</f>
        <v>6</v>
      </c>
      <c r="D65" s="10" t="n">
        <f aca="false">IF(C65=0,"",B65/C65)</f>
        <v>0.333333333333333</v>
      </c>
    </row>
    <row r="67" customFormat="false" ht="15" hidden="false" customHeight="false" outlineLevel="0" collapsed="false">
      <c r="A67" s="5" t="s">
        <v>84</v>
      </c>
      <c r="B67" s="5" t="s">
        <v>85</v>
      </c>
    </row>
    <row r="68" customFormat="false" ht="15" hidden="false" customHeight="false" outlineLevel="0" collapsed="false">
      <c r="A68" s="6" t="n">
        <v>5</v>
      </c>
      <c r="B68" s="6" t="n">
        <f aca="false">COUNTIFS('All projects'!$AX$2:$AX$119,$A68,'All projects'!$D$2:$D$119,"active")</f>
        <v>42</v>
      </c>
    </row>
    <row r="69" customFormat="false" ht="15" hidden="false" customHeight="false" outlineLevel="0" collapsed="false">
      <c r="A69" s="6" t="n">
        <v>4</v>
      </c>
      <c r="B69" s="6" t="n">
        <f aca="false">COUNTIFS('All projects'!$AX$2:$AX$119,$A69,'All projects'!$D$2:$D$119,"active")</f>
        <v>30</v>
      </c>
    </row>
    <row r="70" customFormat="false" ht="15" hidden="false" customHeight="false" outlineLevel="0" collapsed="false">
      <c r="A70" s="6" t="n">
        <v>3</v>
      </c>
      <c r="B70" s="6" t="n">
        <f aca="false">COUNTIFS('All projects'!$AX$2:$AX$119,$A70,'All projects'!$D$2:$D$119,"active")</f>
        <v>35</v>
      </c>
    </row>
    <row r="71" customFormat="false" ht="15" hidden="false" customHeight="false" outlineLevel="0" collapsed="false">
      <c r="A71" s="6" t="n">
        <v>2</v>
      </c>
      <c r="B71" s="6" t="n">
        <f aca="false">COUNTIFS('All projects'!$AX$2:$AX$119,$A71,'All projects'!$D$2:$D$119,"active")</f>
        <v>6</v>
      </c>
    </row>
    <row r="72" customFormat="false" ht="15" hidden="false" customHeight="false" outlineLevel="0" collapsed="false">
      <c r="A72" s="6" t="n">
        <v>1</v>
      </c>
      <c r="B72" s="6" t="n">
        <f aca="false">COUNTIFS('All projects'!$AX$2:$AX$119,$A72,'All projects'!$D$2:$D$119,"active")</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50"/>
    <col collapsed="false" customWidth="true" hidden="false" outlineLevel="0" max="4" min="4" style="0" width="15"/>
    <col collapsed="false" customWidth="true" hidden="false" outlineLevel="0" max="5" min="5" style="0" width="18"/>
    <col collapsed="false" customWidth="true" hidden="false" outlineLevel="0" max="6" min="6" style="0" width="26"/>
    <col collapsed="false" customWidth="true" hidden="false" outlineLevel="0" max="7" min="7" style="0" width="32"/>
    <col collapsed="false" customWidth="true" hidden="false" outlineLevel="0" max="8" min="8" style="0" width="28"/>
    <col collapsed="false" customWidth="true" hidden="false" outlineLevel="0" max="9" min="9" style="0" width="15"/>
    <col collapsed="false" customWidth="true" hidden="false" outlineLevel="0" max="10" min="10" style="0" width="17"/>
    <col collapsed="false" customWidth="true" hidden="false" outlineLevel="0" max="11" min="11" style="0" width="10"/>
    <col collapsed="false" customWidth="true" hidden="false" outlineLevel="0" max="12" min="12" style="0" width="19"/>
    <col collapsed="false" customWidth="true" hidden="false" outlineLevel="0" max="15" min="13" style="0" width="10"/>
    <col collapsed="false" customWidth="true" hidden="false" outlineLevel="0" max="16" min="16" style="0" width="16"/>
    <col collapsed="false" customWidth="true" hidden="false" outlineLevel="0" max="17" min="17" style="0" width="13"/>
    <col collapsed="false" customWidth="true" hidden="false" outlineLevel="0" max="19" min="18" style="0" width="10"/>
    <col collapsed="false" customWidth="true" hidden="false" outlineLevel="0" max="20" min="20" style="0" width="14"/>
    <col collapsed="false" customWidth="true" hidden="false" outlineLevel="0" max="21" min="21" style="0" width="24"/>
    <col collapsed="false" customWidth="true" hidden="false" outlineLevel="0" max="22" min="22" style="0" width="10"/>
    <col collapsed="false" customWidth="true" hidden="false" outlineLevel="0" max="23" min="23" style="0" width="17"/>
    <col collapsed="false" customWidth="true" hidden="false" outlineLevel="0" max="24" min="24" style="0" width="12"/>
    <col collapsed="false" customWidth="true" hidden="false" outlineLevel="0" max="25" min="25" style="0" width="20"/>
    <col collapsed="false" customWidth="true" hidden="false" outlineLevel="0" max="26" min="26" style="0" width="30"/>
    <col collapsed="false" customWidth="true" hidden="false" outlineLevel="0" max="27" min="27" style="0" width="14"/>
    <col collapsed="false" customWidth="true" hidden="false" outlineLevel="0" max="28" min="28" style="0" width="10"/>
    <col collapsed="false" customWidth="true" hidden="false" outlineLevel="0" max="29" min="29" style="0" width="15"/>
    <col collapsed="false" customWidth="true" hidden="false" outlineLevel="0" max="30" min="30" style="0" width="34"/>
    <col collapsed="false" customWidth="true" hidden="false" outlineLevel="0" max="31" min="31" style="0" width="14"/>
    <col collapsed="false" customWidth="true" hidden="false" outlineLevel="0" max="32" min="32" style="0" width="12"/>
    <col collapsed="false" customWidth="true" hidden="false" outlineLevel="0" max="33" min="33" style="0" width="16"/>
    <col collapsed="false" customWidth="true" hidden="false" outlineLevel="0" max="34" min="34" style="0" width="20"/>
    <col collapsed="false" customWidth="true" hidden="false" outlineLevel="0" max="35" min="35" style="0" width="22"/>
    <col collapsed="false" customWidth="true" hidden="false" outlineLevel="0" max="36" min="36" style="0" width="11"/>
    <col collapsed="false" customWidth="true" hidden="false" outlineLevel="0" max="37" min="37" style="0" width="13"/>
    <col collapsed="false" customWidth="true" hidden="false" outlineLevel="0" max="38" min="38" style="0" width="19"/>
    <col collapsed="false" customWidth="true" hidden="false" outlineLevel="0" max="39" min="39" style="0" width="20"/>
    <col collapsed="false" customWidth="true" hidden="false" outlineLevel="0" max="40" min="40" style="0" width="16"/>
    <col collapsed="false" customWidth="true" hidden="false" outlineLevel="0" max="41" min="41" style="0" width="20"/>
    <col collapsed="false" customWidth="true" hidden="false" outlineLevel="0" max="42" min="42" style="0" width="30"/>
    <col collapsed="false" customWidth="true" hidden="false" outlineLevel="0" max="43" min="43" style="0" width="12"/>
    <col collapsed="false" customWidth="true" hidden="false" outlineLevel="0" max="44" min="44" style="0" width="22"/>
    <col collapsed="false" customWidth="true" hidden="false" outlineLevel="0" max="45" min="45" style="0" width="26"/>
    <col collapsed="false" customWidth="true" hidden="false" outlineLevel="0" max="46" min="46" style="0" width="19"/>
    <col collapsed="false" customWidth="true" hidden="false" outlineLevel="0" max="47" min="47" style="0" width="17"/>
    <col collapsed="false" customWidth="true" hidden="false" outlineLevel="0" max="48" min="48" style="0" width="16"/>
    <col collapsed="false" customWidth="true" hidden="false" outlineLevel="0" max="49" min="49" style="0" width="14"/>
    <col collapsed="false" customWidth="true" hidden="false" outlineLevel="0" max="50" min="50" style="0" width="16"/>
    <col collapsed="false" customWidth="true" hidden="false" outlineLevel="0" max="51" min="51" style="0" width="34"/>
    <col collapsed="false" customWidth="true" hidden="false" outlineLevel="0" max="52" min="52" style="0" width="11"/>
    <col collapsed="false" customWidth="true" hidden="false" outlineLevel="0" max="53" min="53" style="0" width="20"/>
    <col collapsed="false" customWidth="true" hidden="false" outlineLevel="0" max="54" min="54" style="0" width="40"/>
    <col collapsed="false" customWidth="true" hidden="false" outlineLevel="0" max="55" min="55" style="0" width="36"/>
    <col collapsed="false" customWidth="true" hidden="false" outlineLevel="0" max="56" min="56" style="0" width="18"/>
    <col collapsed="false" customWidth="true" hidden="false" outlineLevel="0" max="57" min="57" style="0" width="15"/>
  </cols>
  <sheetData>
    <row r="1" customFormat="false" ht="23.85" hidden="false" customHeight="false" outlineLevel="0" collapsed="false">
      <c r="A1" s="11" t="s">
        <v>86</v>
      </c>
      <c r="B1" s="11" t="s">
        <v>87</v>
      </c>
      <c r="C1" s="11" t="s">
        <v>88</v>
      </c>
      <c r="D1" s="11" t="s">
        <v>89</v>
      </c>
      <c r="E1" s="11" t="s">
        <v>90</v>
      </c>
      <c r="F1" s="11" t="s">
        <v>91</v>
      </c>
      <c r="G1" s="11" t="s">
        <v>92</v>
      </c>
      <c r="H1" s="11" t="s">
        <v>93</v>
      </c>
      <c r="I1" s="11" t="s">
        <v>94</v>
      </c>
      <c r="J1" s="11" t="s">
        <v>95</v>
      </c>
      <c r="K1" s="11" t="s">
        <v>96</v>
      </c>
      <c r="L1" s="11" t="s">
        <v>97</v>
      </c>
      <c r="M1" s="11" t="s">
        <v>98</v>
      </c>
      <c r="N1" s="11" t="s">
        <v>99</v>
      </c>
      <c r="O1" s="11" t="s">
        <v>100</v>
      </c>
      <c r="P1" s="11" t="s">
        <v>101</v>
      </c>
      <c r="Q1" s="11" t="s">
        <v>102</v>
      </c>
      <c r="R1" s="11" t="s">
        <v>103</v>
      </c>
      <c r="S1" s="11" t="s">
        <v>104</v>
      </c>
      <c r="T1" s="11" t="s">
        <v>105</v>
      </c>
      <c r="U1" s="11" t="s">
        <v>106</v>
      </c>
      <c r="V1" s="11" t="s">
        <v>107</v>
      </c>
      <c r="W1" s="11" t="s">
        <v>108</v>
      </c>
      <c r="X1" s="11" t="s">
        <v>109</v>
      </c>
      <c r="Y1" s="11" t="s">
        <v>110</v>
      </c>
      <c r="Z1" s="11" t="s">
        <v>111</v>
      </c>
      <c r="AA1" s="11" t="s">
        <v>112</v>
      </c>
      <c r="AB1" s="11" t="s">
        <v>113</v>
      </c>
      <c r="AC1" s="11" t="s">
        <v>114</v>
      </c>
      <c r="AD1" s="11" t="s">
        <v>115</v>
      </c>
      <c r="AE1" s="11" t="s">
        <v>116</v>
      </c>
      <c r="AF1" s="11" t="s">
        <v>117</v>
      </c>
      <c r="AG1" s="11" t="s">
        <v>118</v>
      </c>
      <c r="AH1" s="11" t="s">
        <v>119</v>
      </c>
      <c r="AI1" s="11" t="s">
        <v>120</v>
      </c>
      <c r="AJ1" s="11" t="s">
        <v>121</v>
      </c>
      <c r="AK1" s="11" t="s">
        <v>122</v>
      </c>
      <c r="AL1" s="11" t="s">
        <v>123</v>
      </c>
      <c r="AM1" s="11" t="s">
        <v>124</v>
      </c>
      <c r="AN1" s="11" t="s">
        <v>125</v>
      </c>
      <c r="AO1" s="11" t="s">
        <v>126</v>
      </c>
      <c r="AP1" s="11" t="s">
        <v>127</v>
      </c>
      <c r="AQ1" s="11" t="s">
        <v>128</v>
      </c>
      <c r="AR1" s="11" t="s">
        <v>129</v>
      </c>
      <c r="AS1" s="11" t="s">
        <v>130</v>
      </c>
      <c r="AT1" s="11" t="s">
        <v>131</v>
      </c>
      <c r="AU1" s="11" t="s">
        <v>132</v>
      </c>
      <c r="AV1" s="11" t="s">
        <v>133</v>
      </c>
      <c r="AW1" s="11" t="s">
        <v>134</v>
      </c>
      <c r="AX1" s="11" t="s">
        <v>135</v>
      </c>
      <c r="AY1" s="11" t="s">
        <v>136</v>
      </c>
      <c r="AZ1" s="11" t="s">
        <v>137</v>
      </c>
      <c r="BA1" s="11" t="s">
        <v>138</v>
      </c>
      <c r="BB1" s="11" t="s">
        <v>139</v>
      </c>
      <c r="BC1" s="11" t="s">
        <v>140</v>
      </c>
      <c r="BD1" s="11" t="s">
        <v>141</v>
      </c>
      <c r="BE1" s="11" t="s">
        <v>142</v>
      </c>
    </row>
    <row r="2" customFormat="false" ht="35.05" hidden="false" customHeight="false" outlineLevel="0" collapsed="false">
      <c r="A2" s="12" t="s">
        <v>143</v>
      </c>
      <c r="B2" s="13" t="s">
        <v>144</v>
      </c>
      <c r="C2" s="13" t="s">
        <v>145</v>
      </c>
      <c r="D2" s="12" t="s">
        <v>146</v>
      </c>
      <c r="E2" s="12" t="s">
        <v>19</v>
      </c>
      <c r="F2" s="12" t="s">
        <v>40</v>
      </c>
      <c r="G2" s="12" t="s">
        <v>147</v>
      </c>
      <c r="H2" s="12" t="s">
        <v>148</v>
      </c>
      <c r="I2" s="12" t="s">
        <v>149</v>
      </c>
      <c r="J2" s="12" t="s">
        <v>150</v>
      </c>
      <c r="K2" s="12" t="s">
        <v>151</v>
      </c>
      <c r="L2" s="12" t="s">
        <v>69</v>
      </c>
      <c r="M2" s="12" t="s">
        <v>69</v>
      </c>
      <c r="N2" s="12"/>
      <c r="O2" s="12" t="s">
        <v>152</v>
      </c>
      <c r="P2" s="12" t="n">
        <v>1</v>
      </c>
      <c r="Q2" s="12" t="s">
        <v>153</v>
      </c>
      <c r="R2" s="12" t="s">
        <v>78</v>
      </c>
      <c r="S2" s="12" t="s">
        <v>154</v>
      </c>
      <c r="T2" s="12" t="s">
        <v>155</v>
      </c>
      <c r="U2" s="12" t="s">
        <v>156</v>
      </c>
      <c r="V2" s="12" t="s">
        <v>157</v>
      </c>
      <c r="W2" s="12" t="s">
        <v>158</v>
      </c>
      <c r="X2" s="12" t="s">
        <v>159</v>
      </c>
      <c r="Y2" s="12" t="s">
        <v>160</v>
      </c>
      <c r="Z2" s="12" t="s">
        <v>52</v>
      </c>
      <c r="AA2" s="12" t="s">
        <v>161</v>
      </c>
      <c r="AB2" s="14" t="s">
        <v>26</v>
      </c>
      <c r="AC2" s="12" t="s">
        <v>162</v>
      </c>
      <c r="AD2" s="13" t="s">
        <v>163</v>
      </c>
      <c r="AE2" s="12" t="s">
        <v>164</v>
      </c>
      <c r="AF2" s="12" t="n">
        <v>2021</v>
      </c>
      <c r="AG2" s="12" t="s">
        <v>165</v>
      </c>
      <c r="AH2" s="12"/>
      <c r="AI2" s="12"/>
      <c r="AJ2" s="12" t="s">
        <v>166</v>
      </c>
      <c r="AK2" s="12"/>
      <c r="AL2" s="12"/>
      <c r="AM2" s="12" t="s">
        <v>164</v>
      </c>
      <c r="AN2" s="12" t="n">
        <v>42</v>
      </c>
      <c r="AO2" s="12" t="s">
        <v>167</v>
      </c>
      <c r="AP2" s="13" t="s">
        <v>168</v>
      </c>
      <c r="AQ2" s="12" t="s">
        <v>169</v>
      </c>
      <c r="AR2" s="12"/>
      <c r="AS2" s="12"/>
      <c r="AT2" s="12"/>
      <c r="AU2" s="12" t="s">
        <v>170</v>
      </c>
      <c r="AV2" s="12" t="s">
        <v>171</v>
      </c>
      <c r="AW2" s="12" t="n">
        <v>2</v>
      </c>
      <c r="AX2" s="12" t="n">
        <v>5</v>
      </c>
      <c r="AY2" s="12" t="s">
        <v>172</v>
      </c>
      <c r="AZ2" s="12" t="n">
        <v>7</v>
      </c>
      <c r="BA2" s="12" t="n">
        <v>4</v>
      </c>
      <c r="BB2" s="12" t="s">
        <v>173</v>
      </c>
      <c r="BC2" s="13"/>
      <c r="BD2" s="12"/>
      <c r="BE2" s="12" t="s">
        <v>174</v>
      </c>
    </row>
    <row r="3" customFormat="false" ht="23.85" hidden="false" customHeight="false" outlineLevel="0" collapsed="false">
      <c r="A3" s="12" t="s">
        <v>175</v>
      </c>
      <c r="B3" s="13" t="s">
        <v>176</v>
      </c>
      <c r="C3" s="13" t="s">
        <v>177</v>
      </c>
      <c r="D3" s="12" t="s">
        <v>146</v>
      </c>
      <c r="E3" s="12" t="s">
        <v>19</v>
      </c>
      <c r="F3" s="12" t="s">
        <v>38</v>
      </c>
      <c r="G3" s="12" t="s">
        <v>178</v>
      </c>
      <c r="H3" s="12" t="s">
        <v>148</v>
      </c>
      <c r="I3" s="12" t="s">
        <v>149</v>
      </c>
      <c r="J3" s="12" t="s">
        <v>150</v>
      </c>
      <c r="K3" s="12" t="s">
        <v>151</v>
      </c>
      <c r="L3" s="12" t="s">
        <v>69</v>
      </c>
      <c r="M3" s="12" t="s">
        <v>69</v>
      </c>
      <c r="N3" s="12"/>
      <c r="O3" s="12" t="s">
        <v>152</v>
      </c>
      <c r="P3" s="12" t="n">
        <v>1</v>
      </c>
      <c r="Q3" s="12" t="s">
        <v>153</v>
      </c>
      <c r="R3" s="12" t="s">
        <v>78</v>
      </c>
      <c r="S3" s="12" t="s">
        <v>154</v>
      </c>
      <c r="T3" s="12" t="s">
        <v>179</v>
      </c>
      <c r="U3" s="12" t="s">
        <v>159</v>
      </c>
      <c r="V3" s="12" t="s">
        <v>157</v>
      </c>
      <c r="W3" s="12" t="s">
        <v>158</v>
      </c>
      <c r="X3" s="12" t="s">
        <v>159</v>
      </c>
      <c r="Y3" s="12" t="s">
        <v>180</v>
      </c>
      <c r="Z3" s="12" t="s">
        <v>52</v>
      </c>
      <c r="AA3" s="12" t="s">
        <v>161</v>
      </c>
      <c r="AB3" s="14" t="s">
        <v>26</v>
      </c>
      <c r="AC3" s="12" t="s">
        <v>162</v>
      </c>
      <c r="AD3" s="13" t="s">
        <v>162</v>
      </c>
      <c r="AE3" s="12" t="s">
        <v>181</v>
      </c>
      <c r="AF3" s="12" t="n">
        <v>2024</v>
      </c>
      <c r="AG3" s="12"/>
      <c r="AH3" s="12"/>
      <c r="AI3" s="12"/>
      <c r="AJ3" s="12" t="s">
        <v>166</v>
      </c>
      <c r="AK3" s="12"/>
      <c r="AL3" s="12"/>
      <c r="AM3" s="12" t="s">
        <v>181</v>
      </c>
      <c r="AN3" s="12"/>
      <c r="AO3" s="12" t="s">
        <v>182</v>
      </c>
      <c r="AP3" s="13"/>
      <c r="AQ3" s="12" t="s">
        <v>183</v>
      </c>
      <c r="AR3" s="12"/>
      <c r="AS3" s="12"/>
      <c r="AT3" s="12"/>
      <c r="AU3" s="12"/>
      <c r="AV3" s="12"/>
      <c r="AW3" s="12" t="n">
        <v>0</v>
      </c>
      <c r="AX3" s="12" t="n">
        <v>5</v>
      </c>
      <c r="AY3" s="12" t="s">
        <v>172</v>
      </c>
      <c r="AZ3" s="12" t="n">
        <v>4</v>
      </c>
      <c r="BA3" s="12" t="n">
        <v>3</v>
      </c>
      <c r="BB3" s="12" t="s">
        <v>184</v>
      </c>
      <c r="BC3" s="13"/>
      <c r="BD3" s="12"/>
      <c r="BE3" s="12" t="s">
        <v>174</v>
      </c>
    </row>
    <row r="4" customFormat="false" ht="23.85" hidden="false" customHeight="false" outlineLevel="0" collapsed="false">
      <c r="A4" s="12" t="s">
        <v>185</v>
      </c>
      <c r="B4" s="13" t="s">
        <v>186</v>
      </c>
      <c r="C4" s="13" t="s">
        <v>187</v>
      </c>
      <c r="D4" s="12" t="s">
        <v>146</v>
      </c>
      <c r="E4" s="12" t="s">
        <v>19</v>
      </c>
      <c r="F4" s="12" t="s">
        <v>38</v>
      </c>
      <c r="G4" s="12" t="s">
        <v>178</v>
      </c>
      <c r="H4" s="12" t="s">
        <v>148</v>
      </c>
      <c r="I4" s="12" t="s">
        <v>149</v>
      </c>
      <c r="J4" s="12" t="s">
        <v>150</v>
      </c>
      <c r="K4" s="12" t="s">
        <v>151</v>
      </c>
      <c r="L4" s="12" t="s">
        <v>69</v>
      </c>
      <c r="M4" s="12" t="s">
        <v>69</v>
      </c>
      <c r="N4" s="12"/>
      <c r="O4" s="12" t="s">
        <v>188</v>
      </c>
      <c r="P4" s="12" t="n">
        <v>4</v>
      </c>
      <c r="Q4" s="12" t="s">
        <v>189</v>
      </c>
      <c r="R4" s="12" t="s">
        <v>71</v>
      </c>
      <c r="S4" s="12" t="s">
        <v>190</v>
      </c>
      <c r="T4" s="12" t="s">
        <v>191</v>
      </c>
      <c r="U4" s="12" t="s">
        <v>159</v>
      </c>
      <c r="V4" s="12" t="s">
        <v>157</v>
      </c>
      <c r="W4" s="12" t="s">
        <v>158</v>
      </c>
      <c r="X4" s="12" t="s">
        <v>159</v>
      </c>
      <c r="Y4" s="12" t="s">
        <v>192</v>
      </c>
      <c r="Z4" s="12" t="s">
        <v>52</v>
      </c>
      <c r="AA4" s="12" t="s">
        <v>161</v>
      </c>
      <c r="AB4" s="14" t="s">
        <v>26</v>
      </c>
      <c r="AC4" s="12" t="s">
        <v>162</v>
      </c>
      <c r="AD4" s="13" t="s">
        <v>193</v>
      </c>
      <c r="AE4" s="12" t="s">
        <v>194</v>
      </c>
      <c r="AF4" s="12" t="n">
        <v>2024</v>
      </c>
      <c r="AG4" s="12"/>
      <c r="AH4" s="12"/>
      <c r="AI4" s="12"/>
      <c r="AJ4" s="12" t="s">
        <v>166</v>
      </c>
      <c r="AK4" s="12"/>
      <c r="AL4" s="12"/>
      <c r="AM4" s="12" t="s">
        <v>194</v>
      </c>
      <c r="AN4" s="12"/>
      <c r="AO4" s="12" t="s">
        <v>195</v>
      </c>
      <c r="AP4" s="13" t="s">
        <v>196</v>
      </c>
      <c r="AQ4" s="12" t="s">
        <v>197</v>
      </c>
      <c r="AR4" s="12"/>
      <c r="AS4" s="12"/>
      <c r="AT4" s="12"/>
      <c r="AU4" s="12"/>
      <c r="AV4" s="12"/>
      <c r="AW4" s="12" t="n">
        <v>0</v>
      </c>
      <c r="AX4" s="12" t="n">
        <v>5</v>
      </c>
      <c r="AY4" s="12" t="s">
        <v>172</v>
      </c>
      <c r="AZ4" s="12" t="n">
        <v>5</v>
      </c>
      <c r="BA4" s="12" t="n">
        <v>4</v>
      </c>
      <c r="BB4" s="12" t="s">
        <v>198</v>
      </c>
      <c r="BC4" s="13"/>
      <c r="BD4" s="12"/>
      <c r="BE4" s="12" t="s">
        <v>174</v>
      </c>
    </row>
    <row r="5" customFormat="false" ht="46.25" hidden="false" customHeight="false" outlineLevel="0" collapsed="false">
      <c r="A5" s="12" t="s">
        <v>199</v>
      </c>
      <c r="B5" s="13" t="s">
        <v>200</v>
      </c>
      <c r="C5" s="13" t="s">
        <v>201</v>
      </c>
      <c r="D5" s="12" t="s">
        <v>146</v>
      </c>
      <c r="E5" s="12" t="s">
        <v>19</v>
      </c>
      <c r="F5" s="12" t="s">
        <v>38</v>
      </c>
      <c r="G5" s="12" t="s">
        <v>202</v>
      </c>
      <c r="H5" s="12" t="s">
        <v>148</v>
      </c>
      <c r="I5" s="12" t="s">
        <v>149</v>
      </c>
      <c r="J5" s="12" t="s">
        <v>150</v>
      </c>
      <c r="K5" s="12" t="s">
        <v>151</v>
      </c>
      <c r="L5" s="12" t="s">
        <v>69</v>
      </c>
      <c r="M5" s="12" t="s">
        <v>69</v>
      </c>
      <c r="N5" s="12"/>
      <c r="O5" s="12" t="s">
        <v>152</v>
      </c>
      <c r="P5" s="12" t="n">
        <v>1</v>
      </c>
      <c r="Q5" s="12" t="s">
        <v>153</v>
      </c>
      <c r="R5" s="12" t="s">
        <v>78</v>
      </c>
      <c r="S5" s="12" t="s">
        <v>154</v>
      </c>
      <c r="T5" s="12" t="s">
        <v>179</v>
      </c>
      <c r="U5" s="12" t="s">
        <v>203</v>
      </c>
      <c r="V5" s="12" t="s">
        <v>157</v>
      </c>
      <c r="W5" s="12" t="s">
        <v>158</v>
      </c>
      <c r="X5" s="12" t="s">
        <v>159</v>
      </c>
      <c r="Y5" s="12" t="s">
        <v>204</v>
      </c>
      <c r="Z5" s="12" t="s">
        <v>52</v>
      </c>
      <c r="AA5" s="12" t="s">
        <v>161</v>
      </c>
      <c r="AB5" s="15" t="s">
        <v>27</v>
      </c>
      <c r="AC5" s="12" t="s">
        <v>205</v>
      </c>
      <c r="AD5" s="13" t="s">
        <v>206</v>
      </c>
      <c r="AE5" s="12" t="s">
        <v>194</v>
      </c>
      <c r="AF5" s="12" t="n">
        <v>2026</v>
      </c>
      <c r="AG5" s="12" t="s">
        <v>207</v>
      </c>
      <c r="AH5" s="12"/>
      <c r="AI5" s="12"/>
      <c r="AJ5" s="12"/>
      <c r="AK5" s="12"/>
      <c r="AL5" s="12"/>
      <c r="AM5" s="12" t="s">
        <v>194</v>
      </c>
      <c r="AN5" s="12"/>
      <c r="AO5" s="12" t="s">
        <v>195</v>
      </c>
      <c r="AP5" s="13" t="s">
        <v>208</v>
      </c>
      <c r="AQ5" s="12" t="s">
        <v>183</v>
      </c>
      <c r="AR5" s="12"/>
      <c r="AS5" s="12"/>
      <c r="AT5" s="12"/>
      <c r="AU5" s="12"/>
      <c r="AV5" s="12"/>
      <c r="AW5" s="12" t="n">
        <v>0</v>
      </c>
      <c r="AX5" s="12" t="n">
        <v>5</v>
      </c>
      <c r="AY5" s="12" t="s">
        <v>172</v>
      </c>
      <c r="AZ5" s="12" t="n">
        <v>7</v>
      </c>
      <c r="BA5" s="12" t="n">
        <v>3</v>
      </c>
      <c r="BB5" s="12" t="s">
        <v>198</v>
      </c>
      <c r="BC5" s="13"/>
      <c r="BD5" s="12"/>
      <c r="BE5" s="12" t="s">
        <v>174</v>
      </c>
    </row>
    <row r="6" customFormat="false" ht="46.25" hidden="false" customHeight="false" outlineLevel="0" collapsed="false">
      <c r="A6" s="12" t="s">
        <v>209</v>
      </c>
      <c r="B6" s="13" t="s">
        <v>210</v>
      </c>
      <c r="C6" s="13" t="s">
        <v>211</v>
      </c>
      <c r="D6" s="12" t="s">
        <v>146</v>
      </c>
      <c r="E6" s="12" t="s">
        <v>19</v>
      </c>
      <c r="F6" s="12" t="s">
        <v>40</v>
      </c>
      <c r="G6" s="12" t="s">
        <v>212</v>
      </c>
      <c r="H6" s="12" t="s">
        <v>148</v>
      </c>
      <c r="I6" s="12" t="s">
        <v>149</v>
      </c>
      <c r="J6" s="12" t="s">
        <v>150</v>
      </c>
      <c r="K6" s="12" t="s">
        <v>151</v>
      </c>
      <c r="L6" s="12" t="s">
        <v>69</v>
      </c>
      <c r="M6" s="12" t="s">
        <v>69</v>
      </c>
      <c r="N6" s="12"/>
      <c r="O6" s="12" t="s">
        <v>152</v>
      </c>
      <c r="P6" s="12" t="n">
        <v>1</v>
      </c>
      <c r="Q6" s="12" t="s">
        <v>153</v>
      </c>
      <c r="R6" s="12" t="s">
        <v>78</v>
      </c>
      <c r="S6" s="12" t="s">
        <v>154</v>
      </c>
      <c r="T6" s="12" t="s">
        <v>155</v>
      </c>
      <c r="U6" s="12" t="s">
        <v>213</v>
      </c>
      <c r="V6" s="12" t="s">
        <v>214</v>
      </c>
      <c r="W6" s="12" t="s">
        <v>158</v>
      </c>
      <c r="X6" s="12" t="s">
        <v>159</v>
      </c>
      <c r="Y6" s="12" t="s">
        <v>215</v>
      </c>
      <c r="Z6" s="12" t="s">
        <v>52</v>
      </c>
      <c r="AA6" s="12" t="s">
        <v>216</v>
      </c>
      <c r="AB6" s="14" t="s">
        <v>26</v>
      </c>
      <c r="AC6" s="12" t="s">
        <v>162</v>
      </c>
      <c r="AD6" s="13" t="s">
        <v>217</v>
      </c>
      <c r="AE6" s="12" t="s">
        <v>164</v>
      </c>
      <c r="AF6" s="12" t="n">
        <v>2019</v>
      </c>
      <c r="AG6" s="12" t="s">
        <v>218</v>
      </c>
      <c r="AH6" s="12"/>
      <c r="AI6" s="12"/>
      <c r="AJ6" s="12" t="s">
        <v>219</v>
      </c>
      <c r="AK6" s="12" t="s">
        <v>166</v>
      </c>
      <c r="AL6" s="12"/>
      <c r="AM6" s="12" t="s">
        <v>164</v>
      </c>
      <c r="AN6" s="12" t="n">
        <v>0</v>
      </c>
      <c r="AO6" s="12" t="s">
        <v>167</v>
      </c>
      <c r="AP6" s="13" t="s">
        <v>220</v>
      </c>
      <c r="AQ6" s="12" t="s">
        <v>169</v>
      </c>
      <c r="AR6" s="12"/>
      <c r="AS6" s="12"/>
      <c r="AT6" s="12"/>
      <c r="AU6" s="12" t="s">
        <v>221</v>
      </c>
      <c r="AV6" s="12" t="s">
        <v>222</v>
      </c>
      <c r="AW6" s="12" t="n">
        <v>3</v>
      </c>
      <c r="AX6" s="12" t="n">
        <v>5</v>
      </c>
      <c r="AY6" s="12" t="s">
        <v>172</v>
      </c>
      <c r="AZ6" s="12" t="n">
        <v>10</v>
      </c>
      <c r="BA6" s="12" t="n">
        <v>5</v>
      </c>
      <c r="BB6" s="12" t="s">
        <v>173</v>
      </c>
      <c r="BC6" s="13"/>
      <c r="BD6" s="12"/>
      <c r="BE6" s="12" t="s">
        <v>174</v>
      </c>
    </row>
    <row r="7" customFormat="false" ht="23.85" hidden="false" customHeight="false" outlineLevel="0" collapsed="false">
      <c r="A7" s="12" t="s">
        <v>223</v>
      </c>
      <c r="B7" s="13" t="s">
        <v>224</v>
      </c>
      <c r="C7" s="13" t="s">
        <v>225</v>
      </c>
      <c r="D7" s="12" t="s">
        <v>146</v>
      </c>
      <c r="E7" s="12" t="s">
        <v>19</v>
      </c>
      <c r="F7" s="12" t="s">
        <v>40</v>
      </c>
      <c r="G7" s="12" t="s">
        <v>180</v>
      </c>
      <c r="H7" s="12" t="s">
        <v>148</v>
      </c>
      <c r="I7" s="12" t="s">
        <v>149</v>
      </c>
      <c r="J7" s="12" t="s">
        <v>150</v>
      </c>
      <c r="K7" s="12" t="s">
        <v>151</v>
      </c>
      <c r="L7" s="12" t="s">
        <v>69</v>
      </c>
      <c r="M7" s="12" t="s">
        <v>69</v>
      </c>
      <c r="N7" s="12"/>
      <c r="O7" s="12" t="s">
        <v>226</v>
      </c>
      <c r="P7" s="12" t="n">
        <v>1</v>
      </c>
      <c r="Q7" s="12" t="s">
        <v>153</v>
      </c>
      <c r="R7" s="12" t="s">
        <v>73</v>
      </c>
      <c r="S7" s="12" t="s">
        <v>227</v>
      </c>
      <c r="T7" s="12" t="s">
        <v>191</v>
      </c>
      <c r="U7" s="12" t="s">
        <v>156</v>
      </c>
      <c r="V7" s="12" t="s">
        <v>157</v>
      </c>
      <c r="W7" s="12" t="s">
        <v>158</v>
      </c>
      <c r="X7" s="12" t="s">
        <v>159</v>
      </c>
      <c r="Y7" s="12" t="s">
        <v>215</v>
      </c>
      <c r="Z7" s="12" t="s">
        <v>52</v>
      </c>
      <c r="AA7" s="12" t="s">
        <v>161</v>
      </c>
      <c r="AB7" s="14" t="s">
        <v>26</v>
      </c>
      <c r="AC7" s="12" t="s">
        <v>162</v>
      </c>
      <c r="AD7" s="13" t="s">
        <v>162</v>
      </c>
      <c r="AE7" s="12" t="s">
        <v>164</v>
      </c>
      <c r="AF7" s="12" t="n">
        <v>2020</v>
      </c>
      <c r="AG7" s="12"/>
      <c r="AH7" s="12"/>
      <c r="AI7" s="12"/>
      <c r="AJ7" s="12" t="s">
        <v>228</v>
      </c>
      <c r="AK7" s="12"/>
      <c r="AL7" s="12"/>
      <c r="AM7" s="12" t="s">
        <v>164</v>
      </c>
      <c r="AN7" s="12"/>
      <c r="AO7" s="12" t="s">
        <v>167</v>
      </c>
      <c r="AP7" s="13" t="s">
        <v>229</v>
      </c>
      <c r="AQ7" s="12" t="s">
        <v>230</v>
      </c>
      <c r="AR7" s="12"/>
      <c r="AS7" s="12"/>
      <c r="AT7" s="12"/>
      <c r="AU7" s="12"/>
      <c r="AV7" s="12"/>
      <c r="AW7" s="12" t="n">
        <v>0</v>
      </c>
      <c r="AX7" s="12" t="n">
        <v>5</v>
      </c>
      <c r="AY7" s="12" t="s">
        <v>172</v>
      </c>
      <c r="AZ7" s="12" t="n">
        <v>7</v>
      </c>
      <c r="BA7" s="12" t="n">
        <v>5</v>
      </c>
      <c r="BB7" s="12" t="s">
        <v>184</v>
      </c>
      <c r="BC7" s="13"/>
      <c r="BD7" s="12"/>
      <c r="BE7" s="12" t="s">
        <v>174</v>
      </c>
    </row>
    <row r="8" customFormat="false" ht="23.85" hidden="false" customHeight="false" outlineLevel="0" collapsed="false">
      <c r="A8" s="12" t="s">
        <v>231</v>
      </c>
      <c r="B8" s="13" t="s">
        <v>232</v>
      </c>
      <c r="C8" s="13" t="s">
        <v>233</v>
      </c>
      <c r="D8" s="12" t="s">
        <v>146</v>
      </c>
      <c r="E8" s="12" t="s">
        <v>19</v>
      </c>
      <c r="F8" s="12" t="s">
        <v>40</v>
      </c>
      <c r="G8" s="12" t="s">
        <v>180</v>
      </c>
      <c r="H8" s="12" t="s">
        <v>148</v>
      </c>
      <c r="I8" s="12" t="s">
        <v>149</v>
      </c>
      <c r="J8" s="12" t="s">
        <v>150</v>
      </c>
      <c r="K8" s="12" t="s">
        <v>151</v>
      </c>
      <c r="L8" s="12" t="s">
        <v>69</v>
      </c>
      <c r="M8" s="12" t="s">
        <v>69</v>
      </c>
      <c r="N8" s="12"/>
      <c r="O8" s="12" t="s">
        <v>234</v>
      </c>
      <c r="P8" s="12" t="n">
        <v>1</v>
      </c>
      <c r="Q8" s="12" t="s">
        <v>153</v>
      </c>
      <c r="R8" s="12" t="s">
        <v>77</v>
      </c>
      <c r="S8" s="12" t="s">
        <v>235</v>
      </c>
      <c r="T8" s="12" t="s">
        <v>191</v>
      </c>
      <c r="U8" s="12" t="s">
        <v>156</v>
      </c>
      <c r="V8" s="12" t="s">
        <v>157</v>
      </c>
      <c r="W8" s="12" t="s">
        <v>158</v>
      </c>
      <c r="X8" s="12" t="s">
        <v>159</v>
      </c>
      <c r="Y8" s="12" t="s">
        <v>215</v>
      </c>
      <c r="Z8" s="12" t="s">
        <v>52</v>
      </c>
      <c r="AA8" s="12" t="s">
        <v>161</v>
      </c>
      <c r="AB8" s="14" t="s">
        <v>26</v>
      </c>
      <c r="AC8" s="12" t="s">
        <v>162</v>
      </c>
      <c r="AD8" s="13" t="s">
        <v>162</v>
      </c>
      <c r="AE8" s="12" t="s">
        <v>164</v>
      </c>
      <c r="AF8" s="12" t="n">
        <v>2020</v>
      </c>
      <c r="AG8" s="12"/>
      <c r="AH8" s="12"/>
      <c r="AI8" s="12"/>
      <c r="AJ8" s="12" t="s">
        <v>236</v>
      </c>
      <c r="AK8" s="12"/>
      <c r="AL8" s="12"/>
      <c r="AM8" s="12" t="s">
        <v>164</v>
      </c>
      <c r="AN8" s="12"/>
      <c r="AO8" s="12" t="s">
        <v>167</v>
      </c>
      <c r="AP8" s="13" t="s">
        <v>237</v>
      </c>
      <c r="AQ8" s="12" t="s">
        <v>169</v>
      </c>
      <c r="AR8" s="12"/>
      <c r="AS8" s="12"/>
      <c r="AT8" s="12"/>
      <c r="AU8" s="12"/>
      <c r="AV8" s="12"/>
      <c r="AW8" s="12" t="n">
        <v>0</v>
      </c>
      <c r="AX8" s="12" t="n">
        <v>5</v>
      </c>
      <c r="AY8" s="12" t="s">
        <v>172</v>
      </c>
      <c r="AZ8" s="12" t="n">
        <v>6</v>
      </c>
      <c r="BA8" s="12" t="n">
        <v>5</v>
      </c>
      <c r="BB8" s="12" t="s">
        <v>184</v>
      </c>
      <c r="BC8" s="13" t="s">
        <v>238</v>
      </c>
      <c r="BD8" s="12"/>
      <c r="BE8" s="12" t="s">
        <v>174</v>
      </c>
    </row>
    <row r="9" customFormat="false" ht="35.05" hidden="false" customHeight="false" outlineLevel="0" collapsed="false">
      <c r="A9" s="12" t="s">
        <v>239</v>
      </c>
      <c r="B9" s="13" t="s">
        <v>240</v>
      </c>
      <c r="C9" s="13" t="s">
        <v>241</v>
      </c>
      <c r="D9" s="12" t="s">
        <v>146</v>
      </c>
      <c r="E9" s="12" t="s">
        <v>19</v>
      </c>
      <c r="F9" s="12" t="s">
        <v>44</v>
      </c>
      <c r="G9" s="12" t="s">
        <v>242</v>
      </c>
      <c r="H9" s="12" t="s">
        <v>243</v>
      </c>
      <c r="I9" s="12" t="s">
        <v>149</v>
      </c>
      <c r="J9" s="12" t="s">
        <v>150</v>
      </c>
      <c r="K9" s="12" t="s">
        <v>151</v>
      </c>
      <c r="L9" s="12" t="s">
        <v>69</v>
      </c>
      <c r="M9" s="12" t="s">
        <v>69</v>
      </c>
      <c r="N9" s="12"/>
      <c r="O9" s="12" t="s">
        <v>244</v>
      </c>
      <c r="P9" s="12" t="n">
        <v>3</v>
      </c>
      <c r="Q9" s="12" t="s">
        <v>245</v>
      </c>
      <c r="R9" s="12" t="s">
        <v>80</v>
      </c>
      <c r="S9" s="12" t="s">
        <v>246</v>
      </c>
      <c r="T9" s="12" t="s">
        <v>155</v>
      </c>
      <c r="U9" s="12" t="s">
        <v>156</v>
      </c>
      <c r="V9" s="12" t="s">
        <v>157</v>
      </c>
      <c r="W9" s="12" t="s">
        <v>158</v>
      </c>
      <c r="X9" s="12" t="s">
        <v>159</v>
      </c>
      <c r="Y9" s="12" t="s">
        <v>215</v>
      </c>
      <c r="Z9" s="12" t="s">
        <v>52</v>
      </c>
      <c r="AA9" s="12" t="s">
        <v>161</v>
      </c>
      <c r="AB9" s="14" t="s">
        <v>26</v>
      </c>
      <c r="AC9" s="12" t="s">
        <v>162</v>
      </c>
      <c r="AD9" s="13" t="s">
        <v>247</v>
      </c>
      <c r="AE9" s="12" t="s">
        <v>248</v>
      </c>
      <c r="AF9" s="12" t="n">
        <v>2023</v>
      </c>
      <c r="AG9" s="12"/>
      <c r="AH9" s="12"/>
      <c r="AI9" s="12"/>
      <c r="AJ9" s="12" t="s">
        <v>249</v>
      </c>
      <c r="AK9" s="12"/>
      <c r="AL9" s="12"/>
      <c r="AM9" s="12" t="s">
        <v>248</v>
      </c>
      <c r="AN9" s="12"/>
      <c r="AO9" s="12" t="s">
        <v>167</v>
      </c>
      <c r="AP9" s="13" t="s">
        <v>250</v>
      </c>
      <c r="AQ9" s="12" t="s">
        <v>197</v>
      </c>
      <c r="AR9" s="12" t="n">
        <v>447</v>
      </c>
      <c r="AS9" s="12" t="n">
        <v>987</v>
      </c>
      <c r="AT9" s="12" t="s">
        <v>248</v>
      </c>
      <c r="AU9" s="12"/>
      <c r="AV9" s="12"/>
      <c r="AW9" s="12" t="n">
        <v>0</v>
      </c>
      <c r="AX9" s="12" t="n">
        <v>5</v>
      </c>
      <c r="AY9" s="12" t="s">
        <v>172</v>
      </c>
      <c r="AZ9" s="12" t="n">
        <v>6</v>
      </c>
      <c r="BA9" s="12" t="n">
        <v>4</v>
      </c>
      <c r="BB9" s="12" t="s">
        <v>173</v>
      </c>
      <c r="BC9" s="13"/>
      <c r="BD9" s="12"/>
      <c r="BE9" s="12" t="s">
        <v>174</v>
      </c>
    </row>
    <row r="10" customFormat="false" ht="35.05" hidden="false" customHeight="false" outlineLevel="0" collapsed="false">
      <c r="A10" s="12" t="s">
        <v>251</v>
      </c>
      <c r="B10" s="13" t="s">
        <v>252</v>
      </c>
      <c r="C10" s="13" t="s">
        <v>253</v>
      </c>
      <c r="D10" s="12" t="s">
        <v>146</v>
      </c>
      <c r="E10" s="12" t="s">
        <v>19</v>
      </c>
      <c r="F10" s="12" t="s">
        <v>44</v>
      </c>
      <c r="G10" s="12" t="s">
        <v>254</v>
      </c>
      <c r="H10" s="12" t="s">
        <v>255</v>
      </c>
      <c r="I10" s="12" t="s">
        <v>149</v>
      </c>
      <c r="J10" s="12" t="s">
        <v>150</v>
      </c>
      <c r="K10" s="12" t="s">
        <v>151</v>
      </c>
      <c r="L10" s="12" t="s">
        <v>69</v>
      </c>
      <c r="M10" s="12" t="s">
        <v>69</v>
      </c>
      <c r="N10" s="12"/>
      <c r="O10" s="12" t="s">
        <v>244</v>
      </c>
      <c r="P10" s="12" t="n">
        <v>3</v>
      </c>
      <c r="Q10" s="12" t="s">
        <v>245</v>
      </c>
      <c r="R10" s="12" t="s">
        <v>80</v>
      </c>
      <c r="S10" s="12" t="s">
        <v>246</v>
      </c>
      <c r="T10" s="12" t="s">
        <v>155</v>
      </c>
      <c r="U10" s="12" t="s">
        <v>156</v>
      </c>
      <c r="V10" s="12" t="s">
        <v>157</v>
      </c>
      <c r="W10" s="12" t="s">
        <v>158</v>
      </c>
      <c r="X10" s="12" t="s">
        <v>159</v>
      </c>
      <c r="Y10" s="12" t="s">
        <v>215</v>
      </c>
      <c r="Z10" s="12" t="s">
        <v>52</v>
      </c>
      <c r="AA10" s="12" t="s">
        <v>161</v>
      </c>
      <c r="AB10" s="14" t="s">
        <v>26</v>
      </c>
      <c r="AC10" s="12" t="s">
        <v>162</v>
      </c>
      <c r="AD10" s="13" t="s">
        <v>256</v>
      </c>
      <c r="AE10" s="12" t="s">
        <v>248</v>
      </c>
      <c r="AF10" s="12" t="n">
        <v>2022</v>
      </c>
      <c r="AG10" s="12"/>
      <c r="AH10" s="12"/>
      <c r="AI10" s="12"/>
      <c r="AJ10" s="12" t="s">
        <v>257</v>
      </c>
      <c r="AK10" s="12"/>
      <c r="AL10" s="12"/>
      <c r="AM10" s="12" t="s">
        <v>248</v>
      </c>
      <c r="AN10" s="12"/>
      <c r="AO10" s="12" t="s">
        <v>167</v>
      </c>
      <c r="AP10" s="13" t="s">
        <v>258</v>
      </c>
      <c r="AQ10" s="12" t="s">
        <v>169</v>
      </c>
      <c r="AR10" s="12" t="n">
        <v>1741654</v>
      </c>
      <c r="AS10" s="12" t="n">
        <v>2162694</v>
      </c>
      <c r="AT10" s="12" t="s">
        <v>248</v>
      </c>
      <c r="AU10" s="12"/>
      <c r="AV10" s="12"/>
      <c r="AW10" s="12" t="n">
        <v>0</v>
      </c>
      <c r="AX10" s="12" t="n">
        <v>5</v>
      </c>
      <c r="AY10" s="12" t="s">
        <v>172</v>
      </c>
      <c r="AZ10" s="12" t="n">
        <v>4</v>
      </c>
      <c r="BA10" s="12" t="n">
        <v>4</v>
      </c>
      <c r="BB10" s="12" t="s">
        <v>173</v>
      </c>
      <c r="BC10" s="13"/>
      <c r="BD10" s="12"/>
      <c r="BE10" s="12" t="s">
        <v>174</v>
      </c>
    </row>
    <row r="11" customFormat="false" ht="35.05" hidden="false" customHeight="false" outlineLevel="0" collapsed="false">
      <c r="A11" s="12" t="s">
        <v>259</v>
      </c>
      <c r="B11" s="13" t="s">
        <v>260</v>
      </c>
      <c r="C11" s="13" t="s">
        <v>261</v>
      </c>
      <c r="D11" s="12" t="s">
        <v>146</v>
      </c>
      <c r="E11" s="12" t="s">
        <v>19</v>
      </c>
      <c r="F11" s="12" t="s">
        <v>40</v>
      </c>
      <c r="G11" s="12" t="s">
        <v>147</v>
      </c>
      <c r="H11" s="12" t="s">
        <v>148</v>
      </c>
      <c r="I11" s="12" t="s">
        <v>149</v>
      </c>
      <c r="J11" s="12" t="s">
        <v>150</v>
      </c>
      <c r="K11" s="12" t="s">
        <v>151</v>
      </c>
      <c r="L11" s="12" t="s">
        <v>69</v>
      </c>
      <c r="M11" s="12" t="s">
        <v>69</v>
      </c>
      <c r="N11" s="12"/>
      <c r="O11" s="12" t="s">
        <v>152</v>
      </c>
      <c r="P11" s="12" t="n">
        <v>1</v>
      </c>
      <c r="Q11" s="12" t="s">
        <v>153</v>
      </c>
      <c r="R11" s="12" t="s">
        <v>78</v>
      </c>
      <c r="S11" s="12" t="s">
        <v>154</v>
      </c>
      <c r="T11" s="12" t="s">
        <v>155</v>
      </c>
      <c r="U11" s="12" t="s">
        <v>156</v>
      </c>
      <c r="V11" s="12" t="s">
        <v>157</v>
      </c>
      <c r="W11" s="12" t="s">
        <v>158</v>
      </c>
      <c r="X11" s="12" t="s">
        <v>159</v>
      </c>
      <c r="Y11" s="12" t="s">
        <v>180</v>
      </c>
      <c r="Z11" s="12" t="s">
        <v>52</v>
      </c>
      <c r="AA11" s="12" t="s">
        <v>161</v>
      </c>
      <c r="AB11" s="16" t="s">
        <v>28</v>
      </c>
      <c r="AC11" s="12" t="s">
        <v>262</v>
      </c>
      <c r="AD11" s="13" t="s">
        <v>263</v>
      </c>
      <c r="AE11" s="12" t="s">
        <v>164</v>
      </c>
      <c r="AF11" s="12" t="n">
        <v>2023</v>
      </c>
      <c r="AG11" s="12" t="n">
        <v>2023</v>
      </c>
      <c r="AH11" s="12"/>
      <c r="AI11" s="12"/>
      <c r="AJ11" s="12"/>
      <c r="AK11" s="12"/>
      <c r="AL11" s="12"/>
      <c r="AM11" s="12" t="s">
        <v>164</v>
      </c>
      <c r="AN11" s="12"/>
      <c r="AO11" s="12" t="s">
        <v>167</v>
      </c>
      <c r="AP11" s="13" t="s">
        <v>264</v>
      </c>
      <c r="AQ11" s="12" t="s">
        <v>183</v>
      </c>
      <c r="AR11" s="12"/>
      <c r="AS11" s="12"/>
      <c r="AT11" s="12"/>
      <c r="AU11" s="12"/>
      <c r="AV11" s="12"/>
      <c r="AW11" s="12" t="n">
        <v>0</v>
      </c>
      <c r="AX11" s="12" t="n">
        <v>5</v>
      </c>
      <c r="AY11" s="12" t="s">
        <v>172</v>
      </c>
      <c r="AZ11" s="12" t="n">
        <v>7</v>
      </c>
      <c r="BA11" s="12" t="n">
        <v>6</v>
      </c>
      <c r="BB11" s="12" t="s">
        <v>173</v>
      </c>
      <c r="BC11" s="13"/>
      <c r="BD11" s="12"/>
      <c r="BE11" s="12" t="s">
        <v>174</v>
      </c>
    </row>
    <row r="12" customFormat="false" ht="23.85" hidden="false" customHeight="false" outlineLevel="0" collapsed="false">
      <c r="A12" s="12" t="s">
        <v>265</v>
      </c>
      <c r="B12" s="13" t="s">
        <v>266</v>
      </c>
      <c r="C12" s="13" t="s">
        <v>267</v>
      </c>
      <c r="D12" s="12" t="s">
        <v>146</v>
      </c>
      <c r="E12" s="12" t="s">
        <v>19</v>
      </c>
      <c r="F12" s="12" t="s">
        <v>38</v>
      </c>
      <c r="G12" s="12" t="s">
        <v>268</v>
      </c>
      <c r="H12" s="12" t="s">
        <v>269</v>
      </c>
      <c r="I12" s="12" t="s">
        <v>149</v>
      </c>
      <c r="J12" s="12" t="s">
        <v>150</v>
      </c>
      <c r="K12" s="12" t="s">
        <v>151</v>
      </c>
      <c r="L12" s="12" t="s">
        <v>69</v>
      </c>
      <c r="M12" s="12" t="s">
        <v>69</v>
      </c>
      <c r="N12" s="12"/>
      <c r="O12" s="12" t="s">
        <v>226</v>
      </c>
      <c r="P12" s="12" t="n">
        <v>1</v>
      </c>
      <c r="Q12" s="12" t="s">
        <v>153</v>
      </c>
      <c r="R12" s="12" t="s">
        <v>73</v>
      </c>
      <c r="S12" s="12" t="s">
        <v>227</v>
      </c>
      <c r="T12" s="12" t="s">
        <v>179</v>
      </c>
      <c r="U12" s="12" t="s">
        <v>156</v>
      </c>
      <c r="V12" s="12" t="s">
        <v>157</v>
      </c>
      <c r="W12" s="12" t="s">
        <v>158</v>
      </c>
      <c r="X12" s="12" t="s">
        <v>159</v>
      </c>
      <c r="Y12" s="12" t="s">
        <v>180</v>
      </c>
      <c r="Z12" s="12" t="s">
        <v>52</v>
      </c>
      <c r="AA12" s="12" t="s">
        <v>161</v>
      </c>
      <c r="AB12" s="14" t="s">
        <v>26</v>
      </c>
      <c r="AC12" s="12" t="s">
        <v>162</v>
      </c>
      <c r="AD12" s="13" t="s">
        <v>162</v>
      </c>
      <c r="AE12" s="12" t="s">
        <v>248</v>
      </c>
      <c r="AF12" s="12" t="n">
        <v>2023</v>
      </c>
      <c r="AG12" s="12"/>
      <c r="AH12" s="12"/>
      <c r="AI12" s="12"/>
      <c r="AJ12" s="12" t="n">
        <v>2023</v>
      </c>
      <c r="AK12" s="12"/>
      <c r="AL12" s="12"/>
      <c r="AM12" s="12" t="s">
        <v>248</v>
      </c>
      <c r="AN12" s="12"/>
      <c r="AO12" s="12" t="s">
        <v>167</v>
      </c>
      <c r="AP12" s="13" t="s">
        <v>270</v>
      </c>
      <c r="AQ12" s="12" t="s">
        <v>230</v>
      </c>
      <c r="AR12" s="12" t="n">
        <v>23047</v>
      </c>
      <c r="AS12" s="12" t="n">
        <v>16</v>
      </c>
      <c r="AT12" s="12" t="s">
        <v>248</v>
      </c>
      <c r="AU12" s="12"/>
      <c r="AV12" s="12"/>
      <c r="AW12" s="12" t="n">
        <v>0</v>
      </c>
      <c r="AX12" s="12" t="n">
        <v>5</v>
      </c>
      <c r="AY12" s="12" t="s">
        <v>172</v>
      </c>
      <c r="AZ12" s="12" t="n">
        <v>4</v>
      </c>
      <c r="BA12" s="12" t="n">
        <v>2</v>
      </c>
      <c r="BB12" s="12" t="s">
        <v>173</v>
      </c>
      <c r="BC12" s="13"/>
      <c r="BD12" s="12"/>
      <c r="BE12" s="12" t="s">
        <v>174</v>
      </c>
    </row>
    <row r="13" customFormat="false" ht="23.85" hidden="false" customHeight="false" outlineLevel="0" collapsed="false">
      <c r="A13" s="12" t="s">
        <v>271</v>
      </c>
      <c r="B13" s="13" t="s">
        <v>272</v>
      </c>
      <c r="C13" s="13" t="s">
        <v>273</v>
      </c>
      <c r="D13" s="12" t="s">
        <v>146</v>
      </c>
      <c r="E13" s="12" t="s">
        <v>19</v>
      </c>
      <c r="F13" s="12" t="s">
        <v>38</v>
      </c>
      <c r="G13" s="12" t="s">
        <v>274</v>
      </c>
      <c r="H13" s="12" t="s">
        <v>275</v>
      </c>
      <c r="I13" s="12" t="s">
        <v>149</v>
      </c>
      <c r="J13" s="12" t="s">
        <v>150</v>
      </c>
      <c r="K13" s="12" t="s">
        <v>151</v>
      </c>
      <c r="L13" s="12" t="s">
        <v>69</v>
      </c>
      <c r="M13" s="12" t="s">
        <v>69</v>
      </c>
      <c r="N13" s="12"/>
      <c r="O13" s="12" t="s">
        <v>276</v>
      </c>
      <c r="P13" s="12" t="n">
        <v>9</v>
      </c>
      <c r="Q13" s="12" t="s">
        <v>277</v>
      </c>
      <c r="R13" s="12" t="s">
        <v>73</v>
      </c>
      <c r="S13" s="12" t="s">
        <v>227</v>
      </c>
      <c r="T13" s="12" t="s">
        <v>191</v>
      </c>
      <c r="U13" s="12" t="s">
        <v>156</v>
      </c>
      <c r="V13" s="12" t="s">
        <v>157</v>
      </c>
      <c r="W13" s="12" t="s">
        <v>158</v>
      </c>
      <c r="X13" s="12" t="s">
        <v>159</v>
      </c>
      <c r="Y13" s="12" t="s">
        <v>180</v>
      </c>
      <c r="Z13" s="12" t="s">
        <v>52</v>
      </c>
      <c r="AA13" s="12" t="s">
        <v>161</v>
      </c>
      <c r="AB13" s="14" t="s">
        <v>26</v>
      </c>
      <c r="AC13" s="12" t="s">
        <v>162</v>
      </c>
      <c r="AD13" s="13" t="s">
        <v>278</v>
      </c>
      <c r="AE13" s="12" t="s">
        <v>248</v>
      </c>
      <c r="AF13" s="12"/>
      <c r="AG13" s="12"/>
      <c r="AH13" s="12"/>
      <c r="AI13" s="12"/>
      <c r="AJ13" s="12" t="s">
        <v>164</v>
      </c>
      <c r="AK13" s="12"/>
      <c r="AL13" s="12"/>
      <c r="AM13" s="12" t="s">
        <v>248</v>
      </c>
      <c r="AN13" s="12"/>
      <c r="AO13" s="12" t="s">
        <v>167</v>
      </c>
      <c r="AP13" s="13" t="s">
        <v>279</v>
      </c>
      <c r="AQ13" s="12" t="s">
        <v>197</v>
      </c>
      <c r="AR13" s="12" t="n">
        <v>4553</v>
      </c>
      <c r="AS13" s="12" t="n">
        <v>1702</v>
      </c>
      <c r="AT13" s="12" t="s">
        <v>248</v>
      </c>
      <c r="AU13" s="12"/>
      <c r="AV13" s="12"/>
      <c r="AW13" s="12" t="n">
        <v>0</v>
      </c>
      <c r="AX13" s="12" t="n">
        <v>5</v>
      </c>
      <c r="AY13" s="12" t="s">
        <v>172</v>
      </c>
      <c r="AZ13" s="12" t="n">
        <v>4</v>
      </c>
      <c r="BA13" s="12" t="n">
        <v>2</v>
      </c>
      <c r="BB13" s="12" t="s">
        <v>173</v>
      </c>
      <c r="BC13" s="13" t="s">
        <v>280</v>
      </c>
      <c r="BD13" s="12"/>
      <c r="BE13" s="12" t="s">
        <v>174</v>
      </c>
    </row>
    <row r="14" customFormat="false" ht="23.85" hidden="false" customHeight="false" outlineLevel="0" collapsed="false">
      <c r="A14" s="12" t="s">
        <v>281</v>
      </c>
      <c r="B14" s="13" t="s">
        <v>282</v>
      </c>
      <c r="C14" s="13" t="s">
        <v>283</v>
      </c>
      <c r="D14" s="12" t="s">
        <v>146</v>
      </c>
      <c r="E14" s="12" t="s">
        <v>19</v>
      </c>
      <c r="F14" s="12" t="s">
        <v>38</v>
      </c>
      <c r="G14" s="12" t="s">
        <v>284</v>
      </c>
      <c r="H14" s="12" t="s">
        <v>269</v>
      </c>
      <c r="I14" s="12" t="s">
        <v>149</v>
      </c>
      <c r="J14" s="12" t="s">
        <v>150</v>
      </c>
      <c r="K14" s="12" t="s">
        <v>151</v>
      </c>
      <c r="L14" s="12" t="s">
        <v>69</v>
      </c>
      <c r="M14" s="12" t="s">
        <v>69</v>
      </c>
      <c r="N14" s="12"/>
      <c r="O14" s="12" t="s">
        <v>285</v>
      </c>
      <c r="P14" s="12" t="n">
        <v>10</v>
      </c>
      <c r="Q14" s="12" t="s">
        <v>286</v>
      </c>
      <c r="R14" s="12" t="s">
        <v>83</v>
      </c>
      <c r="S14" s="12" t="s">
        <v>287</v>
      </c>
      <c r="T14" s="12" t="s">
        <v>191</v>
      </c>
      <c r="U14" s="12" t="s">
        <v>288</v>
      </c>
      <c r="V14" s="12" t="s">
        <v>289</v>
      </c>
      <c r="W14" s="12" t="s">
        <v>290</v>
      </c>
      <c r="X14" s="12" t="s">
        <v>291</v>
      </c>
      <c r="Y14" s="12" t="s">
        <v>292</v>
      </c>
      <c r="Z14" s="12" t="s">
        <v>56</v>
      </c>
      <c r="AA14" s="12" t="s">
        <v>216</v>
      </c>
      <c r="AB14" s="15" t="s">
        <v>27</v>
      </c>
      <c r="AC14" s="12" t="s">
        <v>205</v>
      </c>
      <c r="AD14" s="13" t="s">
        <v>293</v>
      </c>
      <c r="AE14" s="12" t="s">
        <v>294</v>
      </c>
      <c r="AF14" s="12" t="n">
        <v>2026</v>
      </c>
      <c r="AG14" s="12"/>
      <c r="AH14" s="12" t="s">
        <v>295</v>
      </c>
      <c r="AI14" s="12"/>
      <c r="AJ14" s="12" t="s">
        <v>294</v>
      </c>
      <c r="AK14" s="12"/>
      <c r="AL14" s="12"/>
      <c r="AM14" s="12" t="s">
        <v>294</v>
      </c>
      <c r="AN14" s="12" t="n">
        <v>6</v>
      </c>
      <c r="AO14" s="12" t="s">
        <v>296</v>
      </c>
      <c r="AP14" s="13" t="s">
        <v>297</v>
      </c>
      <c r="AQ14" s="12" t="s">
        <v>183</v>
      </c>
      <c r="AR14" s="12"/>
      <c r="AS14" s="12"/>
      <c r="AT14" s="12"/>
      <c r="AU14" s="12"/>
      <c r="AV14" s="12"/>
      <c r="AW14" s="12" t="n">
        <v>0</v>
      </c>
      <c r="AX14" s="12" t="n">
        <v>5</v>
      </c>
      <c r="AY14" s="12" t="s">
        <v>172</v>
      </c>
      <c r="AZ14" s="12" t="n">
        <v>4</v>
      </c>
      <c r="BA14" s="12" t="n">
        <v>1</v>
      </c>
      <c r="BB14" s="12" t="s">
        <v>298</v>
      </c>
      <c r="BC14" s="13" t="s">
        <v>299</v>
      </c>
      <c r="BD14" s="12"/>
      <c r="BE14" s="12" t="s">
        <v>174</v>
      </c>
    </row>
    <row r="15" customFormat="false" ht="15" hidden="false" customHeight="false" outlineLevel="0" collapsed="false">
      <c r="A15" s="12" t="s">
        <v>300</v>
      </c>
      <c r="B15" s="13" t="s">
        <v>301</v>
      </c>
      <c r="C15" s="13" t="s">
        <v>302</v>
      </c>
      <c r="D15" s="12" t="s">
        <v>146</v>
      </c>
      <c r="E15" s="12" t="s">
        <v>19</v>
      </c>
      <c r="F15" s="12" t="s">
        <v>38</v>
      </c>
      <c r="G15" s="12" t="s">
        <v>303</v>
      </c>
      <c r="H15" s="12" t="s">
        <v>303</v>
      </c>
      <c r="I15" s="12" t="s">
        <v>149</v>
      </c>
      <c r="J15" s="12" t="s">
        <v>150</v>
      </c>
      <c r="K15" s="12" t="s">
        <v>151</v>
      </c>
      <c r="L15" s="12" t="s">
        <v>69</v>
      </c>
      <c r="M15" s="12" t="s">
        <v>69</v>
      </c>
      <c r="N15" s="12"/>
      <c r="O15" s="12" t="s">
        <v>304</v>
      </c>
      <c r="P15" s="12" t="n">
        <v>1</v>
      </c>
      <c r="Q15" s="12" t="s">
        <v>153</v>
      </c>
      <c r="R15" s="12" t="s">
        <v>78</v>
      </c>
      <c r="S15" s="12" t="s">
        <v>154</v>
      </c>
      <c r="T15" s="12" t="s">
        <v>155</v>
      </c>
      <c r="U15" s="12" t="s">
        <v>60</v>
      </c>
      <c r="V15" s="12" t="s">
        <v>60</v>
      </c>
      <c r="W15" s="12" t="s">
        <v>60</v>
      </c>
      <c r="X15" s="12" t="s">
        <v>60</v>
      </c>
      <c r="Y15" s="12" t="s">
        <v>180</v>
      </c>
      <c r="Z15" s="12" t="s">
        <v>52</v>
      </c>
      <c r="AA15" s="12" t="s">
        <v>216</v>
      </c>
      <c r="AB15" s="15" t="s">
        <v>27</v>
      </c>
      <c r="AC15" s="12" t="s">
        <v>205</v>
      </c>
      <c r="AD15" s="13" t="s">
        <v>305</v>
      </c>
      <c r="AE15" s="12" t="s">
        <v>306</v>
      </c>
      <c r="AF15" s="12" t="n">
        <v>2024</v>
      </c>
      <c r="AG15" s="12" t="n">
        <v>2024</v>
      </c>
      <c r="AH15" s="12"/>
      <c r="AI15" s="12"/>
      <c r="AJ15" s="12"/>
      <c r="AK15" s="12"/>
      <c r="AL15" s="12"/>
      <c r="AM15" s="12" t="s">
        <v>306</v>
      </c>
      <c r="AN15" s="12"/>
      <c r="AO15" s="12" t="s">
        <v>307</v>
      </c>
      <c r="AP15" s="13"/>
      <c r="AQ15" s="12" t="s">
        <v>183</v>
      </c>
      <c r="AR15" s="12"/>
      <c r="AS15" s="12"/>
      <c r="AT15" s="12"/>
      <c r="AU15" s="12"/>
      <c r="AV15" s="12"/>
      <c r="AW15" s="12" t="n">
        <v>0</v>
      </c>
      <c r="AX15" s="12" t="n">
        <v>3</v>
      </c>
      <c r="AY15" s="12" t="s">
        <v>308</v>
      </c>
      <c r="AZ15" s="12" t="n">
        <v>1</v>
      </c>
      <c r="BA15" s="12" t="n">
        <v>0</v>
      </c>
      <c r="BB15" s="12" t="s">
        <v>309</v>
      </c>
      <c r="BC15" s="13" t="s">
        <v>310</v>
      </c>
      <c r="BD15" s="12"/>
      <c r="BE15" s="12" t="s">
        <v>174</v>
      </c>
    </row>
    <row r="16" customFormat="false" ht="23.85" hidden="false" customHeight="false" outlineLevel="0" collapsed="false">
      <c r="A16" s="12" t="s">
        <v>311</v>
      </c>
      <c r="B16" s="13" t="s">
        <v>312</v>
      </c>
      <c r="C16" s="13" t="s">
        <v>313</v>
      </c>
      <c r="D16" s="12" t="s">
        <v>146</v>
      </c>
      <c r="E16" s="12" t="s">
        <v>19</v>
      </c>
      <c r="F16" s="12" t="s">
        <v>38</v>
      </c>
      <c r="G16" s="12" t="s">
        <v>314</v>
      </c>
      <c r="H16" s="12" t="s">
        <v>315</v>
      </c>
      <c r="I16" s="12" t="s">
        <v>149</v>
      </c>
      <c r="J16" s="12" t="s">
        <v>150</v>
      </c>
      <c r="K16" s="12" t="s">
        <v>151</v>
      </c>
      <c r="L16" s="12" t="s">
        <v>69</v>
      </c>
      <c r="M16" s="12" t="s">
        <v>69</v>
      </c>
      <c r="N16" s="12"/>
      <c r="O16" s="12" t="s">
        <v>316</v>
      </c>
      <c r="P16" s="12" t="n">
        <v>4</v>
      </c>
      <c r="Q16" s="12" t="s">
        <v>189</v>
      </c>
      <c r="R16" s="12" t="s">
        <v>81</v>
      </c>
      <c r="S16" s="12" t="s">
        <v>317</v>
      </c>
      <c r="T16" s="12" t="s">
        <v>179</v>
      </c>
      <c r="U16" s="12" t="s">
        <v>60</v>
      </c>
      <c r="V16" s="12" t="s">
        <v>60</v>
      </c>
      <c r="W16" s="12" t="s">
        <v>60</v>
      </c>
      <c r="X16" s="12" t="s">
        <v>60</v>
      </c>
      <c r="Y16" s="12" t="s">
        <v>318</v>
      </c>
      <c r="Z16" s="12" t="s">
        <v>60</v>
      </c>
      <c r="AA16" s="12" t="s">
        <v>216</v>
      </c>
      <c r="AB16" s="14" t="s">
        <v>26</v>
      </c>
      <c r="AC16" s="12" t="s">
        <v>162</v>
      </c>
      <c r="AD16" s="13" t="s">
        <v>319</v>
      </c>
      <c r="AE16" s="12" t="s">
        <v>320</v>
      </c>
      <c r="AF16" s="12" t="n">
        <v>2022</v>
      </c>
      <c r="AG16" s="12" t="s">
        <v>321</v>
      </c>
      <c r="AH16" s="12"/>
      <c r="AI16" s="12"/>
      <c r="AJ16" s="12" t="s">
        <v>322</v>
      </c>
      <c r="AK16" s="12"/>
      <c r="AL16" s="12"/>
      <c r="AM16" s="12" t="s">
        <v>320</v>
      </c>
      <c r="AN16" s="12" t="n">
        <v>20</v>
      </c>
      <c r="AO16" s="12" t="s">
        <v>296</v>
      </c>
      <c r="AP16" s="13" t="s">
        <v>323</v>
      </c>
      <c r="AQ16" s="12" t="s">
        <v>183</v>
      </c>
      <c r="AR16" s="12"/>
      <c r="AS16" s="12"/>
      <c r="AT16" s="12"/>
      <c r="AU16" s="12"/>
      <c r="AV16" s="12"/>
      <c r="AW16" s="12" t="n">
        <v>0</v>
      </c>
      <c r="AX16" s="12" t="n">
        <v>5</v>
      </c>
      <c r="AY16" s="12" t="s">
        <v>172</v>
      </c>
      <c r="AZ16" s="12" t="n">
        <v>8</v>
      </c>
      <c r="BA16" s="12" t="n">
        <v>2</v>
      </c>
      <c r="BB16" s="12" t="s">
        <v>324</v>
      </c>
      <c r="BC16" s="13"/>
      <c r="BD16" s="12"/>
      <c r="BE16" s="12" t="s">
        <v>174</v>
      </c>
    </row>
    <row r="17" customFormat="false" ht="23.85" hidden="false" customHeight="false" outlineLevel="0" collapsed="false">
      <c r="A17" s="12" t="s">
        <v>325</v>
      </c>
      <c r="B17" s="13" t="s">
        <v>326</v>
      </c>
      <c r="C17" s="13" t="s">
        <v>327</v>
      </c>
      <c r="D17" s="12" t="s">
        <v>146</v>
      </c>
      <c r="E17" s="12" t="s">
        <v>19</v>
      </c>
      <c r="F17" s="12" t="s">
        <v>38</v>
      </c>
      <c r="G17" s="12" t="s">
        <v>328</v>
      </c>
      <c r="H17" s="12" t="s">
        <v>328</v>
      </c>
      <c r="I17" s="12" t="s">
        <v>149</v>
      </c>
      <c r="J17" s="12" t="s">
        <v>150</v>
      </c>
      <c r="K17" s="12" t="s">
        <v>151</v>
      </c>
      <c r="L17" s="12" t="s">
        <v>69</v>
      </c>
      <c r="M17" s="12" t="s">
        <v>69</v>
      </c>
      <c r="N17" s="12"/>
      <c r="O17" s="12" t="s">
        <v>226</v>
      </c>
      <c r="P17" s="12" t="n">
        <v>1</v>
      </c>
      <c r="Q17" s="12" t="s">
        <v>153</v>
      </c>
      <c r="R17" s="12" t="s">
        <v>73</v>
      </c>
      <c r="S17" s="12" t="s">
        <v>227</v>
      </c>
      <c r="T17" s="12" t="s">
        <v>191</v>
      </c>
      <c r="U17" s="12" t="s">
        <v>329</v>
      </c>
      <c r="V17" s="12" t="s">
        <v>330</v>
      </c>
      <c r="W17" s="12" t="s">
        <v>331</v>
      </c>
      <c r="X17" s="12" t="s">
        <v>60</v>
      </c>
      <c r="Y17" s="12" t="s">
        <v>332</v>
      </c>
      <c r="Z17" s="12" t="s">
        <v>55</v>
      </c>
      <c r="AA17" s="12" t="s">
        <v>216</v>
      </c>
      <c r="AB17" s="14" t="s">
        <v>26</v>
      </c>
      <c r="AC17" s="12" t="s">
        <v>162</v>
      </c>
      <c r="AD17" s="13" t="s">
        <v>333</v>
      </c>
      <c r="AE17" s="12" t="s">
        <v>334</v>
      </c>
      <c r="AF17" s="12" t="n">
        <v>2022</v>
      </c>
      <c r="AG17" s="12" t="s">
        <v>335</v>
      </c>
      <c r="AH17" s="12"/>
      <c r="AI17" s="12"/>
      <c r="AJ17" s="12" t="s">
        <v>334</v>
      </c>
      <c r="AK17" s="12"/>
      <c r="AL17" s="12"/>
      <c r="AM17" s="12" t="s">
        <v>334</v>
      </c>
      <c r="AN17" s="12" t="n">
        <v>0</v>
      </c>
      <c r="AO17" s="12" t="s">
        <v>336</v>
      </c>
      <c r="AP17" s="13" t="s">
        <v>337</v>
      </c>
      <c r="AQ17" s="12" t="s">
        <v>197</v>
      </c>
      <c r="AR17" s="12"/>
      <c r="AS17" s="12"/>
      <c r="AT17" s="12"/>
      <c r="AU17" s="12"/>
      <c r="AV17" s="12"/>
      <c r="AW17" s="12" t="n">
        <v>0</v>
      </c>
      <c r="AX17" s="12" t="n">
        <v>4</v>
      </c>
      <c r="AY17" s="12" t="s">
        <v>338</v>
      </c>
      <c r="AZ17" s="12" t="n">
        <v>5</v>
      </c>
      <c r="BA17" s="12" t="n">
        <v>4</v>
      </c>
      <c r="BB17" s="12" t="s">
        <v>339</v>
      </c>
      <c r="BC17" s="13"/>
      <c r="BD17" s="12"/>
      <c r="BE17" s="12" t="s">
        <v>174</v>
      </c>
    </row>
    <row r="18" customFormat="false" ht="23.85" hidden="false" customHeight="false" outlineLevel="0" collapsed="false">
      <c r="A18" s="12" t="s">
        <v>340</v>
      </c>
      <c r="B18" s="13" t="s">
        <v>341</v>
      </c>
      <c r="C18" s="13" t="s">
        <v>342</v>
      </c>
      <c r="D18" s="12" t="s">
        <v>146</v>
      </c>
      <c r="E18" s="12" t="s">
        <v>19</v>
      </c>
      <c r="F18" s="12" t="s">
        <v>38</v>
      </c>
      <c r="G18" s="12" t="s">
        <v>343</v>
      </c>
      <c r="H18" s="12" t="s">
        <v>344</v>
      </c>
      <c r="I18" s="12" t="s">
        <v>149</v>
      </c>
      <c r="J18" s="12" t="s">
        <v>150</v>
      </c>
      <c r="K18" s="12" t="s">
        <v>151</v>
      </c>
      <c r="L18" s="12" t="s">
        <v>69</v>
      </c>
      <c r="M18" s="12" t="s">
        <v>69</v>
      </c>
      <c r="N18" s="12"/>
      <c r="O18" s="12" t="s">
        <v>345</v>
      </c>
      <c r="P18" s="12" t="n">
        <v>4</v>
      </c>
      <c r="Q18" s="12" t="s">
        <v>189</v>
      </c>
      <c r="R18" s="12" t="s">
        <v>80</v>
      </c>
      <c r="S18" s="12" t="s">
        <v>246</v>
      </c>
      <c r="T18" s="12" t="s">
        <v>155</v>
      </c>
      <c r="U18" s="12" t="s">
        <v>346</v>
      </c>
      <c r="V18" s="12" t="s">
        <v>60</v>
      </c>
      <c r="W18" s="12" t="s">
        <v>60</v>
      </c>
      <c r="X18" s="12" t="s">
        <v>60</v>
      </c>
      <c r="Y18" s="12" t="s">
        <v>347</v>
      </c>
      <c r="Z18" s="12" t="s">
        <v>55</v>
      </c>
      <c r="AA18" s="12" t="s">
        <v>216</v>
      </c>
      <c r="AB18" s="16" t="s">
        <v>28</v>
      </c>
      <c r="AC18" s="12" t="s">
        <v>262</v>
      </c>
      <c r="AD18" s="13" t="s">
        <v>348</v>
      </c>
      <c r="AE18" s="12" t="s">
        <v>349</v>
      </c>
      <c r="AF18" s="12" t="n">
        <v>2023</v>
      </c>
      <c r="AG18" s="12" t="s">
        <v>350</v>
      </c>
      <c r="AH18" s="12"/>
      <c r="AI18" s="12"/>
      <c r="AJ18" s="12"/>
      <c r="AK18" s="12"/>
      <c r="AL18" s="12"/>
      <c r="AM18" s="12" t="s">
        <v>349</v>
      </c>
      <c r="AN18" s="12"/>
      <c r="AO18" s="12" t="s">
        <v>351</v>
      </c>
      <c r="AP18" s="13"/>
      <c r="AQ18" s="12" t="s">
        <v>183</v>
      </c>
      <c r="AR18" s="12"/>
      <c r="AS18" s="12"/>
      <c r="AT18" s="12"/>
      <c r="AU18" s="12"/>
      <c r="AV18" s="12"/>
      <c r="AW18" s="12" t="n">
        <v>0</v>
      </c>
      <c r="AX18" s="12" t="n">
        <v>3</v>
      </c>
      <c r="AY18" s="12" t="s">
        <v>308</v>
      </c>
      <c r="AZ18" s="12" t="n">
        <v>3</v>
      </c>
      <c r="BA18" s="12" t="n">
        <v>0</v>
      </c>
      <c r="BB18" s="12" t="s">
        <v>352</v>
      </c>
      <c r="BC18" s="13"/>
      <c r="BD18" s="12"/>
      <c r="BE18" s="12" t="s">
        <v>174</v>
      </c>
    </row>
    <row r="19" customFormat="false" ht="23.85" hidden="false" customHeight="false" outlineLevel="0" collapsed="false">
      <c r="A19" s="12" t="s">
        <v>353</v>
      </c>
      <c r="B19" s="13" t="s">
        <v>354</v>
      </c>
      <c r="C19" s="13" t="s">
        <v>355</v>
      </c>
      <c r="D19" s="12" t="s">
        <v>146</v>
      </c>
      <c r="E19" s="12" t="s">
        <v>19</v>
      </c>
      <c r="F19" s="12" t="s">
        <v>41</v>
      </c>
      <c r="G19" s="12" t="s">
        <v>356</v>
      </c>
      <c r="H19" s="12" t="s">
        <v>356</v>
      </c>
      <c r="I19" s="12" t="s">
        <v>149</v>
      </c>
      <c r="J19" s="12" t="s">
        <v>150</v>
      </c>
      <c r="K19" s="12" t="s">
        <v>151</v>
      </c>
      <c r="L19" s="12" t="s">
        <v>69</v>
      </c>
      <c r="M19" s="12" t="s">
        <v>69</v>
      </c>
      <c r="N19" s="12"/>
      <c r="O19" s="12" t="s">
        <v>285</v>
      </c>
      <c r="P19" s="12" t="n">
        <v>10</v>
      </c>
      <c r="Q19" s="12" t="s">
        <v>286</v>
      </c>
      <c r="R19" s="12" t="s">
        <v>83</v>
      </c>
      <c r="S19" s="12" t="s">
        <v>287</v>
      </c>
      <c r="T19" s="12" t="s">
        <v>179</v>
      </c>
      <c r="U19" s="12" t="s">
        <v>346</v>
      </c>
      <c r="V19" s="12" t="s">
        <v>60</v>
      </c>
      <c r="W19" s="12" t="s">
        <v>60</v>
      </c>
      <c r="X19" s="12" t="s">
        <v>60</v>
      </c>
      <c r="Y19" s="12" t="s">
        <v>357</v>
      </c>
      <c r="Z19" s="12" t="s">
        <v>54</v>
      </c>
      <c r="AA19" s="12" t="s">
        <v>216</v>
      </c>
      <c r="AB19" s="17" t="s">
        <v>29</v>
      </c>
      <c r="AC19" s="12" t="s">
        <v>29</v>
      </c>
      <c r="AD19" s="13" t="s">
        <v>358</v>
      </c>
      <c r="AE19" s="12" t="s">
        <v>359</v>
      </c>
      <c r="AF19" s="12" t="n">
        <v>2019</v>
      </c>
      <c r="AG19" s="12" t="s">
        <v>360</v>
      </c>
      <c r="AH19" s="12"/>
      <c r="AI19" s="12" t="s">
        <v>359</v>
      </c>
      <c r="AJ19" s="12"/>
      <c r="AK19" s="12"/>
      <c r="AL19" s="12"/>
      <c r="AM19" s="12" t="s">
        <v>359</v>
      </c>
      <c r="AN19" s="12"/>
      <c r="AO19" s="12" t="s">
        <v>361</v>
      </c>
      <c r="AP19" s="13"/>
      <c r="AQ19" s="12" t="s">
        <v>183</v>
      </c>
      <c r="AR19" s="12"/>
      <c r="AS19" s="12"/>
      <c r="AT19" s="12"/>
      <c r="AU19" s="12" t="s">
        <v>362</v>
      </c>
      <c r="AV19" s="12" t="s">
        <v>363</v>
      </c>
      <c r="AW19" s="12" t="n">
        <v>1</v>
      </c>
      <c r="AX19" s="12" t="n">
        <v>4</v>
      </c>
      <c r="AY19" s="12" t="s">
        <v>338</v>
      </c>
      <c r="AZ19" s="12" t="n">
        <v>2</v>
      </c>
      <c r="BA19" s="12" t="n">
        <v>2</v>
      </c>
      <c r="BB19" s="12" t="s">
        <v>364</v>
      </c>
      <c r="BC19" s="13"/>
      <c r="BD19" s="12"/>
      <c r="BE19" s="12" t="s">
        <v>174</v>
      </c>
    </row>
    <row r="20" customFormat="false" ht="35.05" hidden="false" customHeight="false" outlineLevel="0" collapsed="false">
      <c r="A20" s="12" t="s">
        <v>365</v>
      </c>
      <c r="B20" s="13" t="s">
        <v>366</v>
      </c>
      <c r="C20" s="13" t="s">
        <v>367</v>
      </c>
      <c r="D20" s="12" t="s">
        <v>146</v>
      </c>
      <c r="E20" s="12" t="s">
        <v>19</v>
      </c>
      <c r="F20" s="12" t="s">
        <v>41</v>
      </c>
      <c r="G20" s="12" t="s">
        <v>356</v>
      </c>
      <c r="H20" s="12" t="s">
        <v>356</v>
      </c>
      <c r="I20" s="12" t="s">
        <v>149</v>
      </c>
      <c r="J20" s="12" t="s">
        <v>150</v>
      </c>
      <c r="K20" s="12" t="s">
        <v>151</v>
      </c>
      <c r="L20" s="12" t="s">
        <v>69</v>
      </c>
      <c r="M20" s="12" t="s">
        <v>69</v>
      </c>
      <c r="N20" s="12"/>
      <c r="O20" s="12" t="s">
        <v>368</v>
      </c>
      <c r="P20" s="12" t="n">
        <v>7</v>
      </c>
      <c r="Q20" s="12" t="s">
        <v>369</v>
      </c>
      <c r="R20" s="12" t="s">
        <v>81</v>
      </c>
      <c r="S20" s="12" t="s">
        <v>317</v>
      </c>
      <c r="T20" s="12" t="s">
        <v>179</v>
      </c>
      <c r="U20" s="12" t="s">
        <v>370</v>
      </c>
      <c r="V20" s="12" t="s">
        <v>370</v>
      </c>
      <c r="W20" s="12" t="s">
        <v>331</v>
      </c>
      <c r="X20" s="12" t="s">
        <v>159</v>
      </c>
      <c r="Y20" s="12" t="s">
        <v>371</v>
      </c>
      <c r="Z20" s="12" t="s">
        <v>54</v>
      </c>
      <c r="AA20" s="12" t="s">
        <v>216</v>
      </c>
      <c r="AB20" s="17" t="s">
        <v>29</v>
      </c>
      <c r="AC20" s="12" t="s">
        <v>29</v>
      </c>
      <c r="AD20" s="13" t="s">
        <v>372</v>
      </c>
      <c r="AE20" s="12" t="s">
        <v>359</v>
      </c>
      <c r="AF20" s="12" t="n">
        <v>2018</v>
      </c>
      <c r="AG20" s="12" t="s">
        <v>373</v>
      </c>
      <c r="AH20" s="12"/>
      <c r="AI20" s="12" t="s">
        <v>359</v>
      </c>
      <c r="AJ20" s="12"/>
      <c r="AK20" s="12"/>
      <c r="AL20" s="12"/>
      <c r="AM20" s="12" t="s">
        <v>359</v>
      </c>
      <c r="AN20" s="12"/>
      <c r="AO20" s="12" t="s">
        <v>361</v>
      </c>
      <c r="AP20" s="13"/>
      <c r="AQ20" s="12" t="s">
        <v>183</v>
      </c>
      <c r="AR20" s="12"/>
      <c r="AS20" s="12"/>
      <c r="AT20" s="12"/>
      <c r="AU20" s="12" t="s">
        <v>374</v>
      </c>
      <c r="AV20" s="12" t="s">
        <v>375</v>
      </c>
      <c r="AW20" s="12" t="n">
        <v>3</v>
      </c>
      <c r="AX20" s="12" t="n">
        <v>4</v>
      </c>
      <c r="AY20" s="12" t="s">
        <v>338</v>
      </c>
      <c r="AZ20" s="12" t="n">
        <v>3</v>
      </c>
      <c r="BA20" s="12" t="n">
        <v>2</v>
      </c>
      <c r="BB20" s="12" t="s">
        <v>364</v>
      </c>
      <c r="BC20" s="13" t="s">
        <v>376</v>
      </c>
      <c r="BD20" s="12"/>
      <c r="BE20" s="12" t="s">
        <v>174</v>
      </c>
    </row>
    <row r="21" customFormat="false" ht="23.85" hidden="false" customHeight="false" outlineLevel="0" collapsed="false">
      <c r="A21" s="12" t="s">
        <v>377</v>
      </c>
      <c r="B21" s="13" t="s">
        <v>378</v>
      </c>
      <c r="C21" s="13" t="s">
        <v>379</v>
      </c>
      <c r="D21" s="12" t="s">
        <v>146</v>
      </c>
      <c r="E21" s="12" t="s">
        <v>19</v>
      </c>
      <c r="F21" s="12" t="s">
        <v>41</v>
      </c>
      <c r="G21" s="12" t="s">
        <v>356</v>
      </c>
      <c r="H21" s="12" t="s">
        <v>356</v>
      </c>
      <c r="I21" s="12" t="s">
        <v>149</v>
      </c>
      <c r="J21" s="12" t="s">
        <v>150</v>
      </c>
      <c r="K21" s="12" t="s">
        <v>151</v>
      </c>
      <c r="L21" s="12" t="s">
        <v>69</v>
      </c>
      <c r="M21" s="12" t="s">
        <v>69</v>
      </c>
      <c r="N21" s="12"/>
      <c r="O21" s="12" t="s">
        <v>152</v>
      </c>
      <c r="P21" s="12" t="n">
        <v>1</v>
      </c>
      <c r="Q21" s="12" t="s">
        <v>153</v>
      </c>
      <c r="R21" s="12" t="s">
        <v>78</v>
      </c>
      <c r="S21" s="12" t="s">
        <v>154</v>
      </c>
      <c r="T21" s="12" t="s">
        <v>155</v>
      </c>
      <c r="U21" s="12" t="s">
        <v>346</v>
      </c>
      <c r="V21" s="12" t="s">
        <v>60</v>
      </c>
      <c r="W21" s="12" t="s">
        <v>60</v>
      </c>
      <c r="X21" s="12" t="s">
        <v>60</v>
      </c>
      <c r="Y21" s="12" t="s">
        <v>215</v>
      </c>
      <c r="Z21" s="12" t="s">
        <v>60</v>
      </c>
      <c r="AA21" s="12" t="s">
        <v>216</v>
      </c>
      <c r="AB21" s="18" t="s">
        <v>30</v>
      </c>
      <c r="AC21" s="12" t="s">
        <v>380</v>
      </c>
      <c r="AD21" s="13" t="s">
        <v>381</v>
      </c>
      <c r="AE21" s="12" t="s">
        <v>382</v>
      </c>
      <c r="AF21" s="12" t="n">
        <v>2018</v>
      </c>
      <c r="AG21" s="12" t="s">
        <v>383</v>
      </c>
      <c r="AH21" s="12"/>
      <c r="AI21" s="12"/>
      <c r="AJ21" s="12"/>
      <c r="AK21" s="12"/>
      <c r="AL21" s="12"/>
      <c r="AM21" s="12" t="s">
        <v>382</v>
      </c>
      <c r="AN21" s="12"/>
      <c r="AO21" s="12" t="s">
        <v>384</v>
      </c>
      <c r="AP21" s="13"/>
      <c r="AQ21" s="12" t="s">
        <v>183</v>
      </c>
      <c r="AR21" s="12"/>
      <c r="AS21" s="12"/>
      <c r="AT21" s="12"/>
      <c r="AU21" s="12" t="s">
        <v>385</v>
      </c>
      <c r="AV21" s="12" t="s">
        <v>375</v>
      </c>
      <c r="AW21" s="12" t="n">
        <v>2</v>
      </c>
      <c r="AX21" s="12" t="n">
        <v>4</v>
      </c>
      <c r="AY21" s="12" t="s">
        <v>338</v>
      </c>
      <c r="AZ21" s="12" t="n">
        <v>3</v>
      </c>
      <c r="BA21" s="12" t="n">
        <v>1</v>
      </c>
      <c r="BB21" s="12" t="s">
        <v>386</v>
      </c>
      <c r="BC21" s="13"/>
      <c r="BD21" s="12"/>
      <c r="BE21" s="12" t="s">
        <v>174</v>
      </c>
    </row>
    <row r="22" customFormat="false" ht="23.85" hidden="false" customHeight="false" outlineLevel="0" collapsed="false">
      <c r="A22" s="12" t="s">
        <v>387</v>
      </c>
      <c r="B22" s="13" t="s">
        <v>388</v>
      </c>
      <c r="C22" s="13" t="s">
        <v>389</v>
      </c>
      <c r="D22" s="12" t="s">
        <v>146</v>
      </c>
      <c r="E22" s="12" t="s">
        <v>19</v>
      </c>
      <c r="F22" s="12" t="s">
        <v>43</v>
      </c>
      <c r="G22" s="12" t="s">
        <v>390</v>
      </c>
      <c r="H22" s="12" t="s">
        <v>391</v>
      </c>
      <c r="I22" s="12" t="s">
        <v>392</v>
      </c>
      <c r="J22" s="12" t="s">
        <v>150</v>
      </c>
      <c r="K22" s="12" t="s">
        <v>151</v>
      </c>
      <c r="L22" s="12" t="s">
        <v>69</v>
      </c>
      <c r="M22" s="12" t="s">
        <v>69</v>
      </c>
      <c r="N22" s="12"/>
      <c r="O22" s="12" t="s">
        <v>393</v>
      </c>
      <c r="P22" s="12" t="n">
        <v>4</v>
      </c>
      <c r="Q22" s="12" t="s">
        <v>189</v>
      </c>
      <c r="R22" s="12" t="s">
        <v>72</v>
      </c>
      <c r="S22" s="12" t="s">
        <v>394</v>
      </c>
      <c r="T22" s="12" t="s">
        <v>191</v>
      </c>
      <c r="U22" s="12" t="s">
        <v>395</v>
      </c>
      <c r="V22" s="12" t="s">
        <v>289</v>
      </c>
      <c r="W22" s="12" t="s">
        <v>290</v>
      </c>
      <c r="X22" s="12" t="s">
        <v>291</v>
      </c>
      <c r="Y22" s="12" t="s">
        <v>396</v>
      </c>
      <c r="Z22" s="12" t="s">
        <v>56</v>
      </c>
      <c r="AA22" s="12" t="s">
        <v>216</v>
      </c>
      <c r="AB22" s="15" t="s">
        <v>27</v>
      </c>
      <c r="AC22" s="12" t="s">
        <v>205</v>
      </c>
      <c r="AD22" s="13" t="s">
        <v>397</v>
      </c>
      <c r="AE22" s="12" t="s">
        <v>398</v>
      </c>
      <c r="AF22" s="12" t="n">
        <v>2022</v>
      </c>
      <c r="AG22" s="12" t="s">
        <v>399</v>
      </c>
      <c r="AH22" s="12" t="s">
        <v>400</v>
      </c>
      <c r="AI22" s="12"/>
      <c r="AJ22" s="12"/>
      <c r="AK22" s="12"/>
      <c r="AL22" s="12"/>
      <c r="AM22" s="12" t="s">
        <v>398</v>
      </c>
      <c r="AN22" s="12"/>
      <c r="AO22" s="12" t="s">
        <v>167</v>
      </c>
      <c r="AP22" s="13" t="s">
        <v>401</v>
      </c>
      <c r="AQ22" s="12" t="s">
        <v>169</v>
      </c>
      <c r="AR22" s="12"/>
      <c r="AS22" s="12"/>
      <c r="AT22" s="12"/>
      <c r="AU22" s="12" t="s">
        <v>402</v>
      </c>
      <c r="AV22" s="12" t="s">
        <v>403</v>
      </c>
      <c r="AW22" s="12" t="n">
        <v>2</v>
      </c>
      <c r="AX22" s="12" t="n">
        <v>5</v>
      </c>
      <c r="AY22" s="12" t="s">
        <v>172</v>
      </c>
      <c r="AZ22" s="12" t="n">
        <v>9</v>
      </c>
      <c r="BA22" s="12" t="n">
        <v>4</v>
      </c>
      <c r="BB22" s="12" t="s">
        <v>404</v>
      </c>
      <c r="BC22" s="13" t="s">
        <v>405</v>
      </c>
      <c r="BD22" s="12"/>
      <c r="BE22" s="12" t="s">
        <v>174</v>
      </c>
    </row>
    <row r="23" customFormat="false" ht="15" hidden="false" customHeight="false" outlineLevel="0" collapsed="false">
      <c r="A23" s="12" t="s">
        <v>406</v>
      </c>
      <c r="B23" s="13" t="s">
        <v>407</v>
      </c>
      <c r="C23" s="13" t="s">
        <v>408</v>
      </c>
      <c r="D23" s="12" t="s">
        <v>146</v>
      </c>
      <c r="E23" s="12" t="s">
        <v>19</v>
      </c>
      <c r="F23" s="12" t="s">
        <v>43</v>
      </c>
      <c r="G23" s="12" t="s">
        <v>409</v>
      </c>
      <c r="H23" s="12" t="s">
        <v>391</v>
      </c>
      <c r="I23" s="12" t="s">
        <v>392</v>
      </c>
      <c r="J23" s="12" t="s">
        <v>150</v>
      </c>
      <c r="K23" s="12" t="s">
        <v>151</v>
      </c>
      <c r="L23" s="12" t="s">
        <v>69</v>
      </c>
      <c r="M23" s="12" t="s">
        <v>69</v>
      </c>
      <c r="N23" s="12"/>
      <c r="O23" s="12" t="s">
        <v>393</v>
      </c>
      <c r="P23" s="12" t="n">
        <v>4</v>
      </c>
      <c r="Q23" s="12" t="s">
        <v>189</v>
      </c>
      <c r="R23" s="12" t="s">
        <v>76</v>
      </c>
      <c r="S23" s="12" t="s">
        <v>410</v>
      </c>
      <c r="T23" s="12" t="s">
        <v>179</v>
      </c>
      <c r="U23" s="12" t="s">
        <v>411</v>
      </c>
      <c r="V23" s="12" t="s">
        <v>412</v>
      </c>
      <c r="W23" s="12" t="s">
        <v>331</v>
      </c>
      <c r="X23" s="12" t="s">
        <v>159</v>
      </c>
      <c r="Y23" s="12" t="s">
        <v>413</v>
      </c>
      <c r="Z23" s="12" t="s">
        <v>54</v>
      </c>
      <c r="AA23" s="12" t="s">
        <v>216</v>
      </c>
      <c r="AB23" s="17" t="s">
        <v>29</v>
      </c>
      <c r="AC23" s="12" t="s">
        <v>29</v>
      </c>
      <c r="AD23" s="13" t="s">
        <v>414</v>
      </c>
      <c r="AE23" s="12" t="s">
        <v>415</v>
      </c>
      <c r="AF23" s="12" t="n">
        <v>2022</v>
      </c>
      <c r="AG23" s="12" t="s">
        <v>416</v>
      </c>
      <c r="AH23" s="12" t="s">
        <v>417</v>
      </c>
      <c r="AI23" s="12" t="s">
        <v>418</v>
      </c>
      <c r="AJ23" s="12"/>
      <c r="AK23" s="12"/>
      <c r="AL23" s="12"/>
      <c r="AM23" s="12" t="s">
        <v>415</v>
      </c>
      <c r="AN23" s="12"/>
      <c r="AO23" s="12" t="s">
        <v>307</v>
      </c>
      <c r="AP23" s="13"/>
      <c r="AQ23" s="12" t="s">
        <v>183</v>
      </c>
      <c r="AR23" s="12"/>
      <c r="AS23" s="12"/>
      <c r="AT23" s="12"/>
      <c r="AU23" s="12" t="s">
        <v>419</v>
      </c>
      <c r="AV23" s="12" t="s">
        <v>222</v>
      </c>
      <c r="AW23" s="12" t="n">
        <v>2</v>
      </c>
      <c r="AX23" s="12" t="n">
        <v>4</v>
      </c>
      <c r="AY23" s="12" t="s">
        <v>338</v>
      </c>
      <c r="AZ23" s="12" t="n">
        <v>5</v>
      </c>
      <c r="BA23" s="12" t="n">
        <v>1</v>
      </c>
      <c r="BB23" s="12" t="s">
        <v>420</v>
      </c>
      <c r="BC23" s="13"/>
      <c r="BD23" s="12"/>
      <c r="BE23" s="12" t="s">
        <v>174</v>
      </c>
    </row>
    <row r="24" customFormat="false" ht="23.85" hidden="false" customHeight="false" outlineLevel="0" collapsed="false">
      <c r="A24" s="12" t="s">
        <v>421</v>
      </c>
      <c r="B24" s="13" t="s">
        <v>422</v>
      </c>
      <c r="C24" s="13" t="s">
        <v>423</v>
      </c>
      <c r="D24" s="12" t="s">
        <v>146</v>
      </c>
      <c r="E24" s="12" t="s">
        <v>19</v>
      </c>
      <c r="F24" s="12" t="s">
        <v>43</v>
      </c>
      <c r="G24" s="12" t="s">
        <v>424</v>
      </c>
      <c r="H24" s="12" t="s">
        <v>391</v>
      </c>
      <c r="I24" s="12" t="s">
        <v>392</v>
      </c>
      <c r="J24" s="12" t="s">
        <v>150</v>
      </c>
      <c r="K24" s="12" t="s">
        <v>151</v>
      </c>
      <c r="L24" s="12" t="s">
        <v>69</v>
      </c>
      <c r="M24" s="12" t="s">
        <v>69</v>
      </c>
      <c r="N24" s="12"/>
      <c r="O24" s="12" t="s">
        <v>393</v>
      </c>
      <c r="P24" s="12" t="n">
        <v>4</v>
      </c>
      <c r="Q24" s="12" t="s">
        <v>189</v>
      </c>
      <c r="R24" s="12" t="s">
        <v>76</v>
      </c>
      <c r="S24" s="12" t="s">
        <v>410</v>
      </c>
      <c r="T24" s="12" t="s">
        <v>179</v>
      </c>
      <c r="U24" s="12" t="s">
        <v>60</v>
      </c>
      <c r="V24" s="12" t="s">
        <v>60</v>
      </c>
      <c r="W24" s="12" t="s">
        <v>60</v>
      </c>
      <c r="X24" s="12" t="s">
        <v>60</v>
      </c>
      <c r="Y24" s="12" t="s">
        <v>425</v>
      </c>
      <c r="Z24" s="12" t="s">
        <v>56</v>
      </c>
      <c r="AA24" s="12" t="s">
        <v>216</v>
      </c>
      <c r="AB24" s="17" t="s">
        <v>29</v>
      </c>
      <c r="AC24" s="12" t="s">
        <v>29</v>
      </c>
      <c r="AD24" s="13" t="s">
        <v>426</v>
      </c>
      <c r="AE24" s="12" t="s">
        <v>427</v>
      </c>
      <c r="AF24" s="12" t="n">
        <v>2024</v>
      </c>
      <c r="AG24" s="12" t="s">
        <v>428</v>
      </c>
      <c r="AH24" s="12" t="s">
        <v>429</v>
      </c>
      <c r="AI24" s="12" t="s">
        <v>430</v>
      </c>
      <c r="AJ24" s="12"/>
      <c r="AK24" s="12"/>
      <c r="AL24" s="12"/>
      <c r="AM24" s="12" t="s">
        <v>427</v>
      </c>
      <c r="AN24" s="12"/>
      <c r="AO24" s="12" t="s">
        <v>431</v>
      </c>
      <c r="AP24" s="13"/>
      <c r="AQ24" s="12" t="s">
        <v>183</v>
      </c>
      <c r="AR24" s="12"/>
      <c r="AS24" s="12"/>
      <c r="AT24" s="12"/>
      <c r="AU24" s="12"/>
      <c r="AV24" s="12"/>
      <c r="AW24" s="12" t="n">
        <v>0</v>
      </c>
      <c r="AX24" s="12" t="n">
        <v>4</v>
      </c>
      <c r="AY24" s="12" t="s">
        <v>338</v>
      </c>
      <c r="AZ24" s="12" t="n">
        <v>4</v>
      </c>
      <c r="BA24" s="12" t="n">
        <v>2</v>
      </c>
      <c r="BB24" s="12" t="s">
        <v>432</v>
      </c>
      <c r="BC24" s="13"/>
      <c r="BD24" s="12"/>
      <c r="BE24" s="12" t="s">
        <v>174</v>
      </c>
    </row>
    <row r="25" customFormat="false" ht="15" hidden="false" customHeight="false" outlineLevel="0" collapsed="false">
      <c r="A25" s="12" t="s">
        <v>433</v>
      </c>
      <c r="B25" s="13" t="s">
        <v>434</v>
      </c>
      <c r="C25" s="13" t="s">
        <v>435</v>
      </c>
      <c r="D25" s="12" t="s">
        <v>146</v>
      </c>
      <c r="E25" s="12" t="s">
        <v>19</v>
      </c>
      <c r="F25" s="12" t="s">
        <v>43</v>
      </c>
      <c r="G25" s="12" t="s">
        <v>436</v>
      </c>
      <c r="H25" s="12" t="s">
        <v>437</v>
      </c>
      <c r="I25" s="12" t="s">
        <v>392</v>
      </c>
      <c r="J25" s="12" t="s">
        <v>150</v>
      </c>
      <c r="K25" s="12" t="s">
        <v>151</v>
      </c>
      <c r="L25" s="12" t="s">
        <v>69</v>
      </c>
      <c r="M25" s="12" t="s">
        <v>69</v>
      </c>
      <c r="N25" s="12"/>
      <c r="O25" s="12" t="s">
        <v>393</v>
      </c>
      <c r="P25" s="12" t="n">
        <v>4</v>
      </c>
      <c r="Q25" s="12" t="s">
        <v>189</v>
      </c>
      <c r="R25" s="12" t="s">
        <v>76</v>
      </c>
      <c r="S25" s="12" t="s">
        <v>410</v>
      </c>
      <c r="T25" s="12" t="s">
        <v>179</v>
      </c>
      <c r="U25" s="12" t="s">
        <v>346</v>
      </c>
      <c r="V25" s="12" t="s">
        <v>60</v>
      </c>
      <c r="W25" s="12" t="s">
        <v>60</v>
      </c>
      <c r="X25" s="12" t="s">
        <v>60</v>
      </c>
      <c r="Y25" s="12" t="s">
        <v>438</v>
      </c>
      <c r="Z25" s="12" t="s">
        <v>54</v>
      </c>
      <c r="AA25" s="12" t="s">
        <v>216</v>
      </c>
      <c r="AB25" s="17" t="s">
        <v>29</v>
      </c>
      <c r="AC25" s="12" t="s">
        <v>29</v>
      </c>
      <c r="AD25" s="13" t="s">
        <v>439</v>
      </c>
      <c r="AE25" s="12" t="n">
        <v>2018</v>
      </c>
      <c r="AF25" s="12" t="n">
        <v>2017</v>
      </c>
      <c r="AG25" s="12" t="s">
        <v>440</v>
      </c>
      <c r="AH25" s="12"/>
      <c r="AI25" s="12" t="s">
        <v>440</v>
      </c>
      <c r="AJ25" s="12"/>
      <c r="AK25" s="12"/>
      <c r="AL25" s="12"/>
      <c r="AM25" s="12" t="n">
        <v>2018</v>
      </c>
      <c r="AN25" s="12"/>
      <c r="AO25" s="12" t="s">
        <v>441</v>
      </c>
      <c r="AP25" s="13"/>
      <c r="AQ25" s="12" t="s">
        <v>183</v>
      </c>
      <c r="AR25" s="12"/>
      <c r="AS25" s="12"/>
      <c r="AT25" s="12"/>
      <c r="AU25" s="12"/>
      <c r="AV25" s="12"/>
      <c r="AW25" s="12" t="n">
        <v>0</v>
      </c>
      <c r="AX25" s="12" t="n">
        <v>4</v>
      </c>
      <c r="AY25" s="12" t="s">
        <v>338</v>
      </c>
      <c r="AZ25" s="12" t="n">
        <v>5</v>
      </c>
      <c r="BA25" s="12" t="n">
        <v>1</v>
      </c>
      <c r="BB25" s="12" t="s">
        <v>386</v>
      </c>
      <c r="BC25" s="13"/>
      <c r="BD25" s="12"/>
      <c r="BE25" s="12" t="s">
        <v>174</v>
      </c>
    </row>
    <row r="26" customFormat="false" ht="57.45" hidden="false" customHeight="false" outlineLevel="0" collapsed="false">
      <c r="A26" s="12" t="s">
        <v>442</v>
      </c>
      <c r="B26" s="13" t="s">
        <v>443</v>
      </c>
      <c r="C26" s="13" t="s">
        <v>444</v>
      </c>
      <c r="D26" s="12" t="s">
        <v>146</v>
      </c>
      <c r="E26" s="12" t="s">
        <v>19</v>
      </c>
      <c r="F26" s="12" t="s">
        <v>43</v>
      </c>
      <c r="G26" s="12" t="s">
        <v>445</v>
      </c>
      <c r="H26" s="12" t="s">
        <v>446</v>
      </c>
      <c r="I26" s="12" t="s">
        <v>392</v>
      </c>
      <c r="J26" s="12" t="s">
        <v>150</v>
      </c>
      <c r="K26" s="12" t="s">
        <v>151</v>
      </c>
      <c r="L26" s="12" t="s">
        <v>69</v>
      </c>
      <c r="M26" s="12" t="s">
        <v>69</v>
      </c>
      <c r="N26" s="12"/>
      <c r="O26" s="12" t="s">
        <v>393</v>
      </c>
      <c r="P26" s="12" t="n">
        <v>4</v>
      </c>
      <c r="Q26" s="12" t="s">
        <v>189</v>
      </c>
      <c r="R26" s="12" t="s">
        <v>76</v>
      </c>
      <c r="S26" s="12" t="s">
        <v>410</v>
      </c>
      <c r="T26" s="12" t="s">
        <v>179</v>
      </c>
      <c r="U26" s="12" t="s">
        <v>447</v>
      </c>
      <c r="V26" s="12" t="s">
        <v>448</v>
      </c>
      <c r="W26" s="12" t="s">
        <v>331</v>
      </c>
      <c r="X26" s="12" t="s">
        <v>159</v>
      </c>
      <c r="Y26" s="12" t="s">
        <v>449</v>
      </c>
      <c r="Z26" s="12" t="s">
        <v>56</v>
      </c>
      <c r="AA26" s="12" t="s">
        <v>216</v>
      </c>
      <c r="AB26" s="14" t="s">
        <v>26</v>
      </c>
      <c r="AC26" s="12" t="s">
        <v>162</v>
      </c>
      <c r="AD26" s="13" t="s">
        <v>450</v>
      </c>
      <c r="AE26" s="12" t="s">
        <v>181</v>
      </c>
      <c r="AF26" s="12" t="n">
        <v>2021</v>
      </c>
      <c r="AG26" s="12" t="s">
        <v>451</v>
      </c>
      <c r="AH26" s="12"/>
      <c r="AI26" s="12"/>
      <c r="AJ26" s="12" t="s">
        <v>452</v>
      </c>
      <c r="AK26" s="12"/>
      <c r="AL26" s="12"/>
      <c r="AM26" s="12" t="s">
        <v>181</v>
      </c>
      <c r="AN26" s="12" t="n">
        <v>8</v>
      </c>
      <c r="AO26" s="12" t="s">
        <v>182</v>
      </c>
      <c r="AP26" s="13" t="s">
        <v>453</v>
      </c>
      <c r="AQ26" s="12" t="s">
        <v>169</v>
      </c>
      <c r="AR26" s="12"/>
      <c r="AS26" s="12"/>
      <c r="AT26" s="12"/>
      <c r="AU26" s="12"/>
      <c r="AV26" s="12"/>
      <c r="AW26" s="12" t="n">
        <v>0</v>
      </c>
      <c r="AX26" s="12" t="n">
        <v>5</v>
      </c>
      <c r="AY26" s="12" t="s">
        <v>172</v>
      </c>
      <c r="AZ26" s="12" t="n">
        <v>9</v>
      </c>
      <c r="BA26" s="12" t="n">
        <v>4</v>
      </c>
      <c r="BB26" s="12" t="s">
        <v>184</v>
      </c>
      <c r="BC26" s="13" t="s">
        <v>454</v>
      </c>
      <c r="BD26" s="12"/>
      <c r="BE26" s="12" t="s">
        <v>174</v>
      </c>
    </row>
    <row r="27" customFormat="false" ht="23.85" hidden="false" customHeight="false" outlineLevel="0" collapsed="false">
      <c r="A27" s="12" t="s">
        <v>455</v>
      </c>
      <c r="B27" s="13" t="s">
        <v>456</v>
      </c>
      <c r="C27" s="13" t="s">
        <v>457</v>
      </c>
      <c r="D27" s="12" t="s">
        <v>146</v>
      </c>
      <c r="E27" s="12" t="s">
        <v>19</v>
      </c>
      <c r="F27" s="12" t="s">
        <v>43</v>
      </c>
      <c r="G27" s="12" t="s">
        <v>458</v>
      </c>
      <c r="H27" s="12" t="s">
        <v>459</v>
      </c>
      <c r="I27" s="12" t="s">
        <v>392</v>
      </c>
      <c r="J27" s="12" t="s">
        <v>150</v>
      </c>
      <c r="K27" s="12" t="s">
        <v>151</v>
      </c>
      <c r="L27" s="12" t="s">
        <v>69</v>
      </c>
      <c r="M27" s="12" t="s">
        <v>69</v>
      </c>
      <c r="N27" s="12"/>
      <c r="O27" s="12" t="s">
        <v>188</v>
      </c>
      <c r="P27" s="12" t="n">
        <v>4</v>
      </c>
      <c r="Q27" s="12" t="s">
        <v>189</v>
      </c>
      <c r="R27" s="12" t="s">
        <v>71</v>
      </c>
      <c r="S27" s="12" t="s">
        <v>190</v>
      </c>
      <c r="T27" s="12" t="s">
        <v>179</v>
      </c>
      <c r="U27" s="12" t="s">
        <v>460</v>
      </c>
      <c r="V27" s="12" t="s">
        <v>448</v>
      </c>
      <c r="W27" s="12" t="s">
        <v>331</v>
      </c>
      <c r="X27" s="12" t="s">
        <v>159</v>
      </c>
      <c r="Y27" s="12" t="s">
        <v>461</v>
      </c>
      <c r="Z27" s="12" t="s">
        <v>56</v>
      </c>
      <c r="AA27" s="12" t="s">
        <v>216</v>
      </c>
      <c r="AB27" s="14" t="s">
        <v>26</v>
      </c>
      <c r="AC27" s="12" t="s">
        <v>162</v>
      </c>
      <c r="AD27" s="13" t="s">
        <v>217</v>
      </c>
      <c r="AE27" s="12" t="s">
        <v>181</v>
      </c>
      <c r="AF27" s="12" t="n">
        <v>2020</v>
      </c>
      <c r="AG27" s="12" t="s">
        <v>462</v>
      </c>
      <c r="AH27" s="12"/>
      <c r="AI27" s="12"/>
      <c r="AJ27" s="12" t="s">
        <v>463</v>
      </c>
      <c r="AK27" s="12" t="s">
        <v>464</v>
      </c>
      <c r="AL27" s="12"/>
      <c r="AM27" s="12" t="s">
        <v>181</v>
      </c>
      <c r="AN27" s="12" t="n">
        <v>32</v>
      </c>
      <c r="AO27" s="12" t="s">
        <v>182</v>
      </c>
      <c r="AP27" s="13" t="s">
        <v>465</v>
      </c>
      <c r="AQ27" s="12" t="s">
        <v>169</v>
      </c>
      <c r="AR27" s="12"/>
      <c r="AS27" s="12"/>
      <c r="AT27" s="12"/>
      <c r="AU27" s="12" t="s">
        <v>402</v>
      </c>
      <c r="AV27" s="12" t="s">
        <v>403</v>
      </c>
      <c r="AW27" s="12" t="n">
        <v>2</v>
      </c>
      <c r="AX27" s="12" t="n">
        <v>5</v>
      </c>
      <c r="AY27" s="12" t="s">
        <v>172</v>
      </c>
      <c r="AZ27" s="12" t="n">
        <v>6</v>
      </c>
      <c r="BA27" s="12" t="n">
        <v>4</v>
      </c>
      <c r="BB27" s="12" t="s">
        <v>184</v>
      </c>
      <c r="BC27" s="13"/>
      <c r="BD27" s="12"/>
      <c r="BE27" s="12" t="s">
        <v>174</v>
      </c>
    </row>
    <row r="28" customFormat="false" ht="35.05" hidden="false" customHeight="false" outlineLevel="0" collapsed="false">
      <c r="A28" s="12" t="s">
        <v>466</v>
      </c>
      <c r="B28" s="13" t="s">
        <v>467</v>
      </c>
      <c r="C28" s="13" t="s">
        <v>468</v>
      </c>
      <c r="D28" s="12" t="s">
        <v>146</v>
      </c>
      <c r="E28" s="12" t="s">
        <v>19</v>
      </c>
      <c r="F28" s="12" t="s">
        <v>45</v>
      </c>
      <c r="G28" s="12" t="s">
        <v>469</v>
      </c>
      <c r="H28" s="12" t="s">
        <v>470</v>
      </c>
      <c r="I28" s="12" t="s">
        <v>392</v>
      </c>
      <c r="J28" s="12" t="s">
        <v>150</v>
      </c>
      <c r="K28" s="12" t="s">
        <v>151</v>
      </c>
      <c r="L28" s="12" t="s">
        <v>69</v>
      </c>
      <c r="M28" s="12" t="s">
        <v>69</v>
      </c>
      <c r="N28" s="12"/>
      <c r="O28" s="12" t="s">
        <v>471</v>
      </c>
      <c r="P28" s="12" t="n">
        <v>1</v>
      </c>
      <c r="Q28" s="12" t="s">
        <v>153</v>
      </c>
      <c r="R28" s="12" t="s">
        <v>74</v>
      </c>
      <c r="S28" s="12" t="s">
        <v>472</v>
      </c>
      <c r="T28" s="12" t="s">
        <v>191</v>
      </c>
      <c r="U28" s="12" t="s">
        <v>156</v>
      </c>
      <c r="V28" s="12" t="s">
        <v>157</v>
      </c>
      <c r="W28" s="12" t="s">
        <v>158</v>
      </c>
      <c r="X28" s="12" t="s">
        <v>159</v>
      </c>
      <c r="Y28" s="12" t="s">
        <v>473</v>
      </c>
      <c r="Z28" s="12" t="s">
        <v>52</v>
      </c>
      <c r="AA28" s="12" t="s">
        <v>161</v>
      </c>
      <c r="AB28" s="17" t="s">
        <v>29</v>
      </c>
      <c r="AC28" s="12" t="s">
        <v>29</v>
      </c>
      <c r="AD28" s="13" t="s">
        <v>474</v>
      </c>
      <c r="AE28" s="12" t="s">
        <v>475</v>
      </c>
      <c r="AF28" s="12" t="n">
        <v>2021</v>
      </c>
      <c r="AG28" s="12" t="s">
        <v>476</v>
      </c>
      <c r="AH28" s="12"/>
      <c r="AI28" s="12"/>
      <c r="AJ28" s="12"/>
      <c r="AK28" s="12"/>
      <c r="AL28" s="12"/>
      <c r="AM28" s="12" t="s">
        <v>475</v>
      </c>
      <c r="AN28" s="12"/>
      <c r="AO28" s="12" t="s">
        <v>336</v>
      </c>
      <c r="AP28" s="13"/>
      <c r="AQ28" s="12" t="s">
        <v>183</v>
      </c>
      <c r="AR28" s="12"/>
      <c r="AS28" s="12"/>
      <c r="AT28" s="12"/>
      <c r="AU28" s="12" t="s">
        <v>477</v>
      </c>
      <c r="AV28" s="12" t="s">
        <v>375</v>
      </c>
      <c r="AW28" s="12" t="n">
        <v>2</v>
      </c>
      <c r="AX28" s="12" t="n">
        <v>4</v>
      </c>
      <c r="AY28" s="12" t="s">
        <v>338</v>
      </c>
      <c r="AZ28" s="12" t="n">
        <v>10</v>
      </c>
      <c r="BA28" s="12" t="n">
        <v>3</v>
      </c>
      <c r="BB28" s="12" t="s">
        <v>478</v>
      </c>
      <c r="BC28" s="13"/>
      <c r="BD28" s="12"/>
      <c r="BE28" s="12" t="s">
        <v>174</v>
      </c>
    </row>
    <row r="29" customFormat="false" ht="23.85" hidden="false" customHeight="false" outlineLevel="0" collapsed="false">
      <c r="A29" s="12" t="s">
        <v>479</v>
      </c>
      <c r="B29" s="13" t="s">
        <v>480</v>
      </c>
      <c r="C29" s="13" t="s">
        <v>481</v>
      </c>
      <c r="D29" s="12" t="s">
        <v>146</v>
      </c>
      <c r="E29" s="12" t="s">
        <v>19</v>
      </c>
      <c r="F29" s="12" t="s">
        <v>44</v>
      </c>
      <c r="G29" s="12" t="s">
        <v>482</v>
      </c>
      <c r="H29" s="12" t="s">
        <v>483</v>
      </c>
      <c r="I29" s="12" t="s">
        <v>392</v>
      </c>
      <c r="J29" s="12" t="s">
        <v>150</v>
      </c>
      <c r="K29" s="12" t="s">
        <v>151</v>
      </c>
      <c r="L29" s="12" t="s">
        <v>69</v>
      </c>
      <c r="M29" s="12" t="s">
        <v>69</v>
      </c>
      <c r="N29" s="12"/>
      <c r="O29" s="12" t="s">
        <v>244</v>
      </c>
      <c r="P29" s="12" t="n">
        <v>3</v>
      </c>
      <c r="Q29" s="12" t="s">
        <v>245</v>
      </c>
      <c r="R29" s="12" t="s">
        <v>80</v>
      </c>
      <c r="S29" s="12" t="s">
        <v>246</v>
      </c>
      <c r="T29" s="12" t="s">
        <v>191</v>
      </c>
      <c r="U29" s="12" t="s">
        <v>484</v>
      </c>
      <c r="V29" s="12" t="s">
        <v>60</v>
      </c>
      <c r="W29" s="12" t="s">
        <v>60</v>
      </c>
      <c r="X29" s="12" t="s">
        <v>60</v>
      </c>
      <c r="Y29" s="12" t="s">
        <v>215</v>
      </c>
      <c r="Z29" s="12" t="s">
        <v>59</v>
      </c>
      <c r="AA29" s="12" t="s">
        <v>216</v>
      </c>
      <c r="AB29" s="16" t="s">
        <v>28</v>
      </c>
      <c r="AC29" s="12" t="s">
        <v>262</v>
      </c>
      <c r="AD29" s="13" t="s">
        <v>485</v>
      </c>
      <c r="AE29" s="12" t="s">
        <v>486</v>
      </c>
      <c r="AF29" s="12" t="n">
        <v>2022</v>
      </c>
      <c r="AG29" s="12" t="s">
        <v>487</v>
      </c>
      <c r="AH29" s="12"/>
      <c r="AI29" s="12"/>
      <c r="AJ29" s="12"/>
      <c r="AK29" s="12"/>
      <c r="AL29" s="12"/>
      <c r="AM29" s="12" t="s">
        <v>486</v>
      </c>
      <c r="AN29" s="12"/>
      <c r="AO29" s="12" t="s">
        <v>488</v>
      </c>
      <c r="AP29" s="13"/>
      <c r="AQ29" s="12" t="s">
        <v>183</v>
      </c>
      <c r="AR29" s="12"/>
      <c r="AS29" s="12"/>
      <c r="AT29" s="12"/>
      <c r="AU29" s="12"/>
      <c r="AV29" s="12"/>
      <c r="AW29" s="12" t="n">
        <v>0</v>
      </c>
      <c r="AX29" s="12" t="n">
        <v>4</v>
      </c>
      <c r="AY29" s="12" t="s">
        <v>338</v>
      </c>
      <c r="AZ29" s="12" t="n">
        <v>6</v>
      </c>
      <c r="BA29" s="12" t="n">
        <v>4</v>
      </c>
      <c r="BB29" s="12" t="s">
        <v>489</v>
      </c>
      <c r="BC29" s="13" t="s">
        <v>490</v>
      </c>
      <c r="BD29" s="12"/>
      <c r="BE29" s="12" t="s">
        <v>174</v>
      </c>
    </row>
    <row r="30" customFormat="false" ht="35.05" hidden="false" customHeight="false" outlineLevel="0" collapsed="false">
      <c r="A30" s="12" t="s">
        <v>491</v>
      </c>
      <c r="B30" s="13" t="s">
        <v>492</v>
      </c>
      <c r="C30" s="13" t="s">
        <v>493</v>
      </c>
      <c r="D30" s="12" t="s">
        <v>146</v>
      </c>
      <c r="E30" s="12" t="s">
        <v>19</v>
      </c>
      <c r="F30" s="12" t="s">
        <v>44</v>
      </c>
      <c r="G30" s="12" t="s">
        <v>494</v>
      </c>
      <c r="H30" s="12" t="s">
        <v>483</v>
      </c>
      <c r="I30" s="12" t="s">
        <v>392</v>
      </c>
      <c r="J30" s="12" t="s">
        <v>150</v>
      </c>
      <c r="K30" s="12" t="s">
        <v>151</v>
      </c>
      <c r="L30" s="12" t="s">
        <v>69</v>
      </c>
      <c r="M30" s="12" t="s">
        <v>69</v>
      </c>
      <c r="N30" s="12"/>
      <c r="O30" s="12" t="s">
        <v>234</v>
      </c>
      <c r="P30" s="12" t="n">
        <v>1</v>
      </c>
      <c r="Q30" s="12" t="s">
        <v>153</v>
      </c>
      <c r="R30" s="12" t="s">
        <v>77</v>
      </c>
      <c r="S30" s="12" t="s">
        <v>235</v>
      </c>
      <c r="T30" s="12" t="s">
        <v>191</v>
      </c>
      <c r="U30" s="12" t="s">
        <v>215</v>
      </c>
      <c r="V30" s="12" t="s">
        <v>60</v>
      </c>
      <c r="W30" s="12" t="s">
        <v>60</v>
      </c>
      <c r="X30" s="12" t="s">
        <v>60</v>
      </c>
      <c r="Y30" s="12" t="s">
        <v>215</v>
      </c>
      <c r="Z30" s="12" t="s">
        <v>59</v>
      </c>
      <c r="AA30" s="12" t="s">
        <v>216</v>
      </c>
      <c r="AB30" s="16" t="s">
        <v>28</v>
      </c>
      <c r="AC30" s="12" t="s">
        <v>262</v>
      </c>
      <c r="AD30" s="13" t="s">
        <v>495</v>
      </c>
      <c r="AE30" s="12" t="s">
        <v>496</v>
      </c>
      <c r="AF30" s="12" t="n">
        <v>2025</v>
      </c>
      <c r="AG30" s="12" t="s">
        <v>497</v>
      </c>
      <c r="AH30" s="12"/>
      <c r="AI30" s="12"/>
      <c r="AJ30" s="12"/>
      <c r="AK30" s="12"/>
      <c r="AL30" s="12"/>
      <c r="AM30" s="12" t="s">
        <v>496</v>
      </c>
      <c r="AN30" s="12"/>
      <c r="AO30" s="12" t="s">
        <v>498</v>
      </c>
      <c r="AP30" s="13" t="s">
        <v>499</v>
      </c>
      <c r="AQ30" s="12" t="s">
        <v>183</v>
      </c>
      <c r="AR30" s="12"/>
      <c r="AS30" s="12"/>
      <c r="AT30" s="12"/>
      <c r="AU30" s="12" t="s">
        <v>500</v>
      </c>
      <c r="AV30" s="12" t="s">
        <v>501</v>
      </c>
      <c r="AW30" s="12" t="n">
        <v>3</v>
      </c>
      <c r="AX30" s="12" t="n">
        <v>4</v>
      </c>
      <c r="AY30" s="12" t="s">
        <v>338</v>
      </c>
      <c r="AZ30" s="12" t="n">
        <v>7</v>
      </c>
      <c r="BA30" s="12" t="n">
        <v>1</v>
      </c>
      <c r="BB30" s="12" t="s">
        <v>502</v>
      </c>
      <c r="BC30" s="13"/>
      <c r="BD30" s="12"/>
      <c r="BE30" s="12" t="s">
        <v>174</v>
      </c>
    </row>
    <row r="31" customFormat="false" ht="35.05" hidden="false" customHeight="false" outlineLevel="0" collapsed="false">
      <c r="A31" s="12" t="s">
        <v>503</v>
      </c>
      <c r="B31" s="13" t="s">
        <v>504</v>
      </c>
      <c r="C31" s="13" t="s">
        <v>505</v>
      </c>
      <c r="D31" s="12" t="s">
        <v>146</v>
      </c>
      <c r="E31" s="12" t="s">
        <v>19</v>
      </c>
      <c r="F31" s="12" t="s">
        <v>43</v>
      </c>
      <c r="G31" s="12" t="s">
        <v>506</v>
      </c>
      <c r="H31" s="12" t="s">
        <v>391</v>
      </c>
      <c r="I31" s="12" t="s">
        <v>392</v>
      </c>
      <c r="J31" s="12" t="s">
        <v>150</v>
      </c>
      <c r="K31" s="12" t="s">
        <v>151</v>
      </c>
      <c r="L31" s="12" t="s">
        <v>69</v>
      </c>
      <c r="M31" s="12" t="s">
        <v>69</v>
      </c>
      <c r="N31" s="12"/>
      <c r="O31" s="12" t="s">
        <v>393</v>
      </c>
      <c r="P31" s="12" t="n">
        <v>4</v>
      </c>
      <c r="Q31" s="12" t="s">
        <v>189</v>
      </c>
      <c r="R31" s="12" t="s">
        <v>82</v>
      </c>
      <c r="S31" s="12" t="s">
        <v>507</v>
      </c>
      <c r="T31" s="12" t="s">
        <v>179</v>
      </c>
      <c r="U31" s="12" t="s">
        <v>508</v>
      </c>
      <c r="V31" s="12" t="s">
        <v>448</v>
      </c>
      <c r="W31" s="12" t="s">
        <v>331</v>
      </c>
      <c r="X31" s="12" t="s">
        <v>159</v>
      </c>
      <c r="Y31" s="12" t="s">
        <v>509</v>
      </c>
      <c r="Z31" s="12" t="s">
        <v>56</v>
      </c>
      <c r="AA31" s="12" t="s">
        <v>216</v>
      </c>
      <c r="AB31" s="15" t="s">
        <v>27</v>
      </c>
      <c r="AC31" s="12" t="s">
        <v>205</v>
      </c>
      <c r="AD31" s="13" t="s">
        <v>510</v>
      </c>
      <c r="AE31" s="12" t="s">
        <v>511</v>
      </c>
      <c r="AF31" s="12" t="n">
        <v>2025</v>
      </c>
      <c r="AG31" s="12" t="s">
        <v>512</v>
      </c>
      <c r="AH31" s="12" t="s">
        <v>257</v>
      </c>
      <c r="AI31" s="12"/>
      <c r="AJ31" s="12"/>
      <c r="AK31" s="12"/>
      <c r="AL31" s="12"/>
      <c r="AM31" s="12" t="s">
        <v>511</v>
      </c>
      <c r="AN31" s="12"/>
      <c r="AO31" s="12" t="s">
        <v>513</v>
      </c>
      <c r="AP31" s="13" t="s">
        <v>514</v>
      </c>
      <c r="AQ31" s="12" t="s">
        <v>183</v>
      </c>
      <c r="AR31" s="12"/>
      <c r="AS31" s="12"/>
      <c r="AT31" s="12"/>
      <c r="AU31" s="12"/>
      <c r="AV31" s="12"/>
      <c r="AW31" s="12" t="n">
        <v>0</v>
      </c>
      <c r="AX31" s="12" t="n">
        <v>4</v>
      </c>
      <c r="AY31" s="12" t="s">
        <v>338</v>
      </c>
      <c r="AZ31" s="12" t="n">
        <v>10</v>
      </c>
      <c r="BA31" s="12" t="n">
        <v>2</v>
      </c>
      <c r="BB31" s="12" t="s">
        <v>515</v>
      </c>
      <c r="BC31" s="13"/>
      <c r="BD31" s="12"/>
      <c r="BE31" s="12" t="s">
        <v>174</v>
      </c>
    </row>
    <row r="32" customFormat="false" ht="23.85" hidden="false" customHeight="false" outlineLevel="0" collapsed="false">
      <c r="A32" s="12" t="s">
        <v>516</v>
      </c>
      <c r="B32" s="13" t="s">
        <v>517</v>
      </c>
      <c r="C32" s="13" t="s">
        <v>518</v>
      </c>
      <c r="D32" s="12" t="s">
        <v>146</v>
      </c>
      <c r="E32" s="12" t="s">
        <v>19</v>
      </c>
      <c r="F32" s="12" t="s">
        <v>48</v>
      </c>
      <c r="G32" s="12" t="s">
        <v>519</v>
      </c>
      <c r="H32" s="12" t="s">
        <v>520</v>
      </c>
      <c r="I32" s="12" t="s">
        <v>392</v>
      </c>
      <c r="J32" s="12" t="s">
        <v>150</v>
      </c>
      <c r="K32" s="12" t="s">
        <v>151</v>
      </c>
      <c r="L32" s="12" t="s">
        <v>69</v>
      </c>
      <c r="M32" s="12" t="s">
        <v>69</v>
      </c>
      <c r="N32" s="12"/>
      <c r="O32" s="12" t="s">
        <v>226</v>
      </c>
      <c r="P32" s="12" t="n">
        <v>1</v>
      </c>
      <c r="Q32" s="12" t="s">
        <v>153</v>
      </c>
      <c r="R32" s="12" t="s">
        <v>73</v>
      </c>
      <c r="S32" s="12" t="s">
        <v>521</v>
      </c>
      <c r="T32" s="12" t="s">
        <v>191</v>
      </c>
      <c r="U32" s="12" t="s">
        <v>522</v>
      </c>
      <c r="V32" s="12" t="s">
        <v>523</v>
      </c>
      <c r="W32" s="12" t="s">
        <v>158</v>
      </c>
      <c r="X32" s="12" t="s">
        <v>159</v>
      </c>
      <c r="Y32" s="12" t="s">
        <v>215</v>
      </c>
      <c r="Z32" s="12" t="s">
        <v>54</v>
      </c>
      <c r="AA32" s="12" t="s">
        <v>216</v>
      </c>
      <c r="AB32" s="14" t="s">
        <v>26</v>
      </c>
      <c r="AC32" s="12" t="s">
        <v>162</v>
      </c>
      <c r="AD32" s="13" t="s">
        <v>524</v>
      </c>
      <c r="AE32" s="12" t="s">
        <v>525</v>
      </c>
      <c r="AF32" s="12" t="n">
        <v>2022</v>
      </c>
      <c r="AG32" s="12" t="s">
        <v>526</v>
      </c>
      <c r="AH32" s="12"/>
      <c r="AI32" s="12" t="s">
        <v>527</v>
      </c>
      <c r="AJ32" s="12" t="s">
        <v>528</v>
      </c>
      <c r="AK32" s="12" t="s">
        <v>529</v>
      </c>
      <c r="AL32" s="12"/>
      <c r="AM32" s="12" t="s">
        <v>525</v>
      </c>
      <c r="AN32" s="12" t="n">
        <v>50</v>
      </c>
      <c r="AO32" s="12" t="s">
        <v>513</v>
      </c>
      <c r="AP32" s="13" t="s">
        <v>530</v>
      </c>
      <c r="AQ32" s="12" t="s">
        <v>169</v>
      </c>
      <c r="AR32" s="12"/>
      <c r="AS32" s="12"/>
      <c r="AT32" s="12"/>
      <c r="AU32" s="12" t="s">
        <v>531</v>
      </c>
      <c r="AV32" s="12" t="s">
        <v>501</v>
      </c>
      <c r="AW32" s="12" t="n">
        <v>4</v>
      </c>
      <c r="AX32" s="12" t="n">
        <v>4</v>
      </c>
      <c r="AY32" s="12" t="s">
        <v>338</v>
      </c>
      <c r="AZ32" s="12" t="n">
        <v>9</v>
      </c>
      <c r="BA32" s="12" t="n">
        <v>4</v>
      </c>
      <c r="BB32" s="12" t="s">
        <v>532</v>
      </c>
      <c r="BC32" s="13"/>
      <c r="BD32" s="12"/>
      <c r="BE32" s="12" t="s">
        <v>174</v>
      </c>
    </row>
    <row r="33" customFormat="false" ht="23.85" hidden="false" customHeight="false" outlineLevel="0" collapsed="false">
      <c r="A33" s="12" t="s">
        <v>533</v>
      </c>
      <c r="B33" s="13" t="s">
        <v>534</v>
      </c>
      <c r="C33" s="13" t="s">
        <v>535</v>
      </c>
      <c r="D33" s="12" t="s">
        <v>146</v>
      </c>
      <c r="E33" s="12" t="s">
        <v>19</v>
      </c>
      <c r="F33" s="12" t="s">
        <v>46</v>
      </c>
      <c r="G33" s="12" t="s">
        <v>536</v>
      </c>
      <c r="H33" s="12" t="s">
        <v>537</v>
      </c>
      <c r="I33" s="12" t="s">
        <v>392</v>
      </c>
      <c r="J33" s="12" t="s">
        <v>150</v>
      </c>
      <c r="K33" s="12" t="s">
        <v>151</v>
      </c>
      <c r="L33" s="12" t="s">
        <v>69</v>
      </c>
      <c r="M33" s="12" t="s">
        <v>69</v>
      </c>
      <c r="N33" s="12"/>
      <c r="O33" s="12" t="s">
        <v>316</v>
      </c>
      <c r="P33" s="12" t="n">
        <v>4</v>
      </c>
      <c r="Q33" s="12" t="s">
        <v>189</v>
      </c>
      <c r="R33" s="12" t="s">
        <v>81</v>
      </c>
      <c r="S33" s="12" t="s">
        <v>317</v>
      </c>
      <c r="T33" s="12" t="s">
        <v>179</v>
      </c>
      <c r="U33" s="12" t="s">
        <v>538</v>
      </c>
      <c r="V33" s="12" t="s">
        <v>214</v>
      </c>
      <c r="W33" s="12" t="s">
        <v>158</v>
      </c>
      <c r="X33" s="12" t="s">
        <v>159</v>
      </c>
      <c r="Y33" s="12" t="s">
        <v>539</v>
      </c>
      <c r="Z33" s="12" t="s">
        <v>54</v>
      </c>
      <c r="AA33" s="12" t="s">
        <v>216</v>
      </c>
      <c r="AB33" s="14" t="s">
        <v>26</v>
      </c>
      <c r="AC33" s="12" t="s">
        <v>162</v>
      </c>
      <c r="AD33" s="13" t="s">
        <v>540</v>
      </c>
      <c r="AE33" s="12" t="s">
        <v>541</v>
      </c>
      <c r="AF33" s="12" t="n">
        <v>2024</v>
      </c>
      <c r="AG33" s="12" t="s">
        <v>542</v>
      </c>
      <c r="AH33" s="12"/>
      <c r="AI33" s="12"/>
      <c r="AJ33" s="12" t="s">
        <v>543</v>
      </c>
      <c r="AK33" s="12"/>
      <c r="AL33" s="12"/>
      <c r="AM33" s="12" t="s">
        <v>541</v>
      </c>
      <c r="AN33" s="12" t="n">
        <v>3</v>
      </c>
      <c r="AO33" s="12" t="s">
        <v>488</v>
      </c>
      <c r="AP33" s="13" t="s">
        <v>544</v>
      </c>
      <c r="AQ33" s="12" t="s">
        <v>230</v>
      </c>
      <c r="AR33" s="12"/>
      <c r="AS33" s="12"/>
      <c r="AT33" s="12"/>
      <c r="AU33" s="12"/>
      <c r="AV33" s="12"/>
      <c r="AW33" s="12" t="n">
        <v>0</v>
      </c>
      <c r="AX33" s="12" t="n">
        <v>4</v>
      </c>
      <c r="AY33" s="12" t="s">
        <v>338</v>
      </c>
      <c r="AZ33" s="12" t="n">
        <v>6</v>
      </c>
      <c r="BA33" s="12" t="n">
        <v>3</v>
      </c>
      <c r="BB33" s="12" t="s">
        <v>545</v>
      </c>
      <c r="BC33" s="13" t="s">
        <v>546</v>
      </c>
      <c r="BD33" s="12"/>
      <c r="BE33" s="12" t="s">
        <v>174</v>
      </c>
    </row>
    <row r="34" customFormat="false" ht="23.85" hidden="false" customHeight="false" outlineLevel="0" collapsed="false">
      <c r="A34" s="12" t="s">
        <v>547</v>
      </c>
      <c r="B34" s="13" t="s">
        <v>548</v>
      </c>
      <c r="C34" s="13" t="s">
        <v>549</v>
      </c>
      <c r="D34" s="12" t="s">
        <v>146</v>
      </c>
      <c r="E34" s="12" t="s">
        <v>19</v>
      </c>
      <c r="F34" s="12" t="s">
        <v>42</v>
      </c>
      <c r="G34" s="12" t="s">
        <v>550</v>
      </c>
      <c r="H34" s="12" t="s">
        <v>344</v>
      </c>
      <c r="I34" s="12" t="s">
        <v>392</v>
      </c>
      <c r="J34" s="12" t="s">
        <v>150</v>
      </c>
      <c r="K34" s="12" t="s">
        <v>151</v>
      </c>
      <c r="L34" s="12" t="s">
        <v>69</v>
      </c>
      <c r="M34" s="12" t="s">
        <v>69</v>
      </c>
      <c r="N34" s="12"/>
      <c r="O34" s="12" t="s">
        <v>345</v>
      </c>
      <c r="P34" s="12" t="n">
        <v>4</v>
      </c>
      <c r="Q34" s="12" t="s">
        <v>189</v>
      </c>
      <c r="R34" s="12" t="s">
        <v>82</v>
      </c>
      <c r="S34" s="12" t="s">
        <v>551</v>
      </c>
      <c r="T34" s="12" t="s">
        <v>191</v>
      </c>
      <c r="U34" s="12" t="s">
        <v>552</v>
      </c>
      <c r="V34" s="12" t="s">
        <v>553</v>
      </c>
      <c r="W34" s="12" t="s">
        <v>554</v>
      </c>
      <c r="X34" s="12" t="s">
        <v>555</v>
      </c>
      <c r="Y34" s="12" t="s">
        <v>556</v>
      </c>
      <c r="Z34" s="12" t="s">
        <v>54</v>
      </c>
      <c r="AA34" s="12" t="s">
        <v>216</v>
      </c>
      <c r="AB34" s="14" t="s">
        <v>26</v>
      </c>
      <c r="AC34" s="12" t="s">
        <v>162</v>
      </c>
      <c r="AD34" s="13" t="s">
        <v>557</v>
      </c>
      <c r="AE34" s="12" t="s">
        <v>558</v>
      </c>
      <c r="AF34" s="12" t="n">
        <v>2024</v>
      </c>
      <c r="AG34" s="12" t="s">
        <v>559</v>
      </c>
      <c r="AH34" s="12"/>
      <c r="AI34" s="12"/>
      <c r="AJ34" s="12" t="s">
        <v>559</v>
      </c>
      <c r="AK34" s="12"/>
      <c r="AL34" s="12"/>
      <c r="AM34" s="12" t="s">
        <v>558</v>
      </c>
      <c r="AN34" s="12" t="n">
        <v>0</v>
      </c>
      <c r="AO34" s="12" t="s">
        <v>307</v>
      </c>
      <c r="AP34" s="13"/>
      <c r="AQ34" s="12" t="s">
        <v>183</v>
      </c>
      <c r="AR34" s="12"/>
      <c r="AS34" s="12"/>
      <c r="AT34" s="12"/>
      <c r="AU34" s="12"/>
      <c r="AV34" s="12"/>
      <c r="AW34" s="12" t="n">
        <v>0</v>
      </c>
      <c r="AX34" s="12" t="n">
        <v>2</v>
      </c>
      <c r="AY34" s="12" t="s">
        <v>560</v>
      </c>
      <c r="AZ34" s="12" t="n">
        <v>3</v>
      </c>
      <c r="BA34" s="12" t="n">
        <v>0</v>
      </c>
      <c r="BB34" s="12" t="s">
        <v>561</v>
      </c>
      <c r="BC34" s="13"/>
      <c r="BD34" s="12"/>
      <c r="BE34" s="12" t="s">
        <v>174</v>
      </c>
    </row>
    <row r="35" customFormat="false" ht="35.05" hidden="false" customHeight="false" outlineLevel="0" collapsed="false">
      <c r="A35" s="12" t="s">
        <v>562</v>
      </c>
      <c r="B35" s="13" t="s">
        <v>563</v>
      </c>
      <c r="C35" s="13" t="s">
        <v>564</v>
      </c>
      <c r="D35" s="12" t="s">
        <v>146</v>
      </c>
      <c r="E35" s="12" t="s">
        <v>19</v>
      </c>
      <c r="F35" s="12" t="s">
        <v>46</v>
      </c>
      <c r="G35" s="12" t="s">
        <v>565</v>
      </c>
      <c r="H35" s="12" t="s">
        <v>566</v>
      </c>
      <c r="I35" s="12" t="s">
        <v>392</v>
      </c>
      <c r="J35" s="12" t="s">
        <v>150</v>
      </c>
      <c r="K35" s="12" t="s">
        <v>151</v>
      </c>
      <c r="L35" s="12" t="s">
        <v>69</v>
      </c>
      <c r="M35" s="12" t="s">
        <v>69</v>
      </c>
      <c r="N35" s="12"/>
      <c r="O35" s="12" t="s">
        <v>276</v>
      </c>
      <c r="P35" s="12" t="n">
        <v>9</v>
      </c>
      <c r="Q35" s="12" t="s">
        <v>277</v>
      </c>
      <c r="R35" s="12" t="s">
        <v>73</v>
      </c>
      <c r="S35" s="12" t="s">
        <v>227</v>
      </c>
      <c r="T35" s="12" t="s">
        <v>191</v>
      </c>
      <c r="U35" s="12" t="s">
        <v>156</v>
      </c>
      <c r="V35" s="12" t="s">
        <v>157</v>
      </c>
      <c r="W35" s="12" t="s">
        <v>158</v>
      </c>
      <c r="X35" s="12" t="s">
        <v>159</v>
      </c>
      <c r="Y35" s="12" t="s">
        <v>180</v>
      </c>
      <c r="Z35" s="12" t="s">
        <v>52</v>
      </c>
      <c r="AA35" s="12" t="s">
        <v>161</v>
      </c>
      <c r="AB35" s="14" t="s">
        <v>26</v>
      </c>
      <c r="AC35" s="12" t="s">
        <v>162</v>
      </c>
      <c r="AD35" s="13" t="s">
        <v>567</v>
      </c>
      <c r="AE35" s="12" t="s">
        <v>248</v>
      </c>
      <c r="AF35" s="12" t="n">
        <v>2019</v>
      </c>
      <c r="AG35" s="12" t="s">
        <v>568</v>
      </c>
      <c r="AH35" s="12"/>
      <c r="AI35" s="12"/>
      <c r="AJ35" s="12" t="s">
        <v>568</v>
      </c>
      <c r="AK35" s="12"/>
      <c r="AL35" s="12"/>
      <c r="AM35" s="12" t="s">
        <v>248</v>
      </c>
      <c r="AN35" s="12" t="n">
        <v>0</v>
      </c>
      <c r="AO35" s="12" t="s">
        <v>167</v>
      </c>
      <c r="AP35" s="13" t="s">
        <v>569</v>
      </c>
      <c r="AQ35" s="12" t="s">
        <v>169</v>
      </c>
      <c r="AR35" s="12" t="n">
        <v>21071556</v>
      </c>
      <c r="AS35" s="12" t="n">
        <v>85261</v>
      </c>
      <c r="AT35" s="12" t="s">
        <v>248</v>
      </c>
      <c r="AU35" s="12"/>
      <c r="AV35" s="12"/>
      <c r="AW35" s="12" t="n">
        <v>0</v>
      </c>
      <c r="AX35" s="12" t="n">
        <v>5</v>
      </c>
      <c r="AY35" s="12" t="s">
        <v>172</v>
      </c>
      <c r="AZ35" s="12" t="n">
        <v>7</v>
      </c>
      <c r="BA35" s="12" t="n">
        <v>6</v>
      </c>
      <c r="BB35" s="12" t="s">
        <v>173</v>
      </c>
      <c r="BC35" s="13"/>
      <c r="BD35" s="12"/>
      <c r="BE35" s="12" t="s">
        <v>174</v>
      </c>
    </row>
    <row r="36" customFormat="false" ht="35.05" hidden="false" customHeight="false" outlineLevel="0" collapsed="false">
      <c r="A36" s="12" t="s">
        <v>570</v>
      </c>
      <c r="B36" s="13" t="s">
        <v>571</v>
      </c>
      <c r="C36" s="13" t="s">
        <v>572</v>
      </c>
      <c r="D36" s="12" t="s">
        <v>146</v>
      </c>
      <c r="E36" s="12" t="s">
        <v>19</v>
      </c>
      <c r="F36" s="12" t="s">
        <v>47</v>
      </c>
      <c r="G36" s="12" t="s">
        <v>573</v>
      </c>
      <c r="H36" s="12" t="s">
        <v>574</v>
      </c>
      <c r="I36" s="12" t="s">
        <v>392</v>
      </c>
      <c r="J36" s="12" t="s">
        <v>150</v>
      </c>
      <c r="K36" s="12" t="s">
        <v>151</v>
      </c>
      <c r="L36" s="12" t="s">
        <v>69</v>
      </c>
      <c r="M36" s="12" t="s">
        <v>69</v>
      </c>
      <c r="N36" s="12"/>
      <c r="O36" s="12" t="s">
        <v>276</v>
      </c>
      <c r="P36" s="12" t="n">
        <v>9</v>
      </c>
      <c r="Q36" s="12" t="s">
        <v>277</v>
      </c>
      <c r="R36" s="12" t="s">
        <v>73</v>
      </c>
      <c r="S36" s="12" t="s">
        <v>227</v>
      </c>
      <c r="T36" s="12" t="s">
        <v>191</v>
      </c>
      <c r="U36" s="12" t="s">
        <v>329</v>
      </c>
      <c r="V36" s="12" t="s">
        <v>330</v>
      </c>
      <c r="W36" s="12" t="s">
        <v>331</v>
      </c>
      <c r="X36" s="12" t="s">
        <v>60</v>
      </c>
      <c r="Y36" s="12" t="s">
        <v>575</v>
      </c>
      <c r="Z36" s="12" t="s">
        <v>55</v>
      </c>
      <c r="AA36" s="12" t="s">
        <v>216</v>
      </c>
      <c r="AB36" s="14" t="s">
        <v>26</v>
      </c>
      <c r="AC36" s="12" t="s">
        <v>162</v>
      </c>
      <c r="AD36" s="13" t="s">
        <v>576</v>
      </c>
      <c r="AE36" s="12" t="s">
        <v>541</v>
      </c>
      <c r="AF36" s="12" t="n">
        <v>2021</v>
      </c>
      <c r="AG36" s="12"/>
      <c r="AH36" s="12"/>
      <c r="AI36" s="12"/>
      <c r="AJ36" s="12" t="s">
        <v>577</v>
      </c>
      <c r="AK36" s="12" t="s">
        <v>475</v>
      </c>
      <c r="AL36" s="12"/>
      <c r="AM36" s="12" t="s">
        <v>541</v>
      </c>
      <c r="AN36" s="12"/>
      <c r="AO36" s="12" t="s">
        <v>488</v>
      </c>
      <c r="AP36" s="13"/>
      <c r="AQ36" s="12" t="s">
        <v>183</v>
      </c>
      <c r="AR36" s="12"/>
      <c r="AS36" s="12"/>
      <c r="AT36" s="12"/>
      <c r="AU36" s="12"/>
      <c r="AV36" s="12"/>
      <c r="AW36" s="12" t="n">
        <v>0</v>
      </c>
      <c r="AX36" s="12" t="n">
        <v>4</v>
      </c>
      <c r="AY36" s="12" t="s">
        <v>338</v>
      </c>
      <c r="AZ36" s="12" t="n">
        <v>8</v>
      </c>
      <c r="BA36" s="12" t="n">
        <v>4</v>
      </c>
      <c r="BB36" s="12" t="s">
        <v>578</v>
      </c>
      <c r="BC36" s="13"/>
      <c r="BD36" s="12"/>
      <c r="BE36" s="12" t="s">
        <v>174</v>
      </c>
    </row>
    <row r="37" customFormat="false" ht="15" hidden="false" customHeight="false" outlineLevel="0" collapsed="false">
      <c r="A37" s="12" t="s">
        <v>579</v>
      </c>
      <c r="B37" s="13" t="s">
        <v>580</v>
      </c>
      <c r="C37" s="13" t="s">
        <v>581</v>
      </c>
      <c r="D37" s="12" t="s">
        <v>146</v>
      </c>
      <c r="E37" s="12" t="s">
        <v>19</v>
      </c>
      <c r="F37" s="12" t="s">
        <v>46</v>
      </c>
      <c r="G37" s="12" t="s">
        <v>582</v>
      </c>
      <c r="H37" s="12" t="s">
        <v>583</v>
      </c>
      <c r="I37" s="12" t="s">
        <v>392</v>
      </c>
      <c r="J37" s="12" t="s">
        <v>150</v>
      </c>
      <c r="K37" s="12" t="s">
        <v>151</v>
      </c>
      <c r="L37" s="12" t="s">
        <v>69</v>
      </c>
      <c r="M37" s="12" t="s">
        <v>69</v>
      </c>
      <c r="N37" s="12"/>
      <c r="O37" s="12" t="s">
        <v>316</v>
      </c>
      <c r="P37" s="12" t="n">
        <v>4</v>
      </c>
      <c r="Q37" s="12" t="s">
        <v>189</v>
      </c>
      <c r="R37" s="12" t="s">
        <v>81</v>
      </c>
      <c r="S37" s="12" t="s">
        <v>317</v>
      </c>
      <c r="T37" s="12" t="s">
        <v>179</v>
      </c>
      <c r="U37" s="12" t="s">
        <v>584</v>
      </c>
      <c r="V37" s="12" t="s">
        <v>584</v>
      </c>
      <c r="W37" s="12" t="s">
        <v>554</v>
      </c>
      <c r="X37" s="12" t="s">
        <v>555</v>
      </c>
      <c r="Y37" s="12" t="s">
        <v>585</v>
      </c>
      <c r="Z37" s="12" t="s">
        <v>54</v>
      </c>
      <c r="AA37" s="12" t="s">
        <v>216</v>
      </c>
      <c r="AB37" s="18" t="s">
        <v>30</v>
      </c>
      <c r="AC37" s="12" t="s">
        <v>380</v>
      </c>
      <c r="AD37" s="13" t="s">
        <v>586</v>
      </c>
      <c r="AE37" s="12" t="n">
        <v>2021</v>
      </c>
      <c r="AF37" s="12" t="n">
        <v>2019</v>
      </c>
      <c r="AG37" s="12" t="s">
        <v>587</v>
      </c>
      <c r="AH37" s="12" t="s">
        <v>587</v>
      </c>
      <c r="AI37" s="12"/>
      <c r="AJ37" s="12"/>
      <c r="AK37" s="12"/>
      <c r="AL37" s="12"/>
      <c r="AM37" s="12" t="n">
        <v>2021</v>
      </c>
      <c r="AN37" s="12"/>
      <c r="AO37" s="12" t="s">
        <v>588</v>
      </c>
      <c r="AP37" s="13" t="s">
        <v>589</v>
      </c>
      <c r="AQ37" s="12" t="s">
        <v>230</v>
      </c>
      <c r="AR37" s="12"/>
      <c r="AS37" s="12"/>
      <c r="AT37" s="12"/>
      <c r="AU37" s="12" t="s">
        <v>402</v>
      </c>
      <c r="AV37" s="12" t="s">
        <v>403</v>
      </c>
      <c r="AW37" s="12" t="n">
        <v>1</v>
      </c>
      <c r="AX37" s="12" t="n">
        <v>2</v>
      </c>
      <c r="AY37" s="12" t="s">
        <v>560</v>
      </c>
      <c r="AZ37" s="12" t="n">
        <v>2</v>
      </c>
      <c r="BA37" s="12" t="n">
        <v>0</v>
      </c>
      <c r="BB37" s="12" t="s">
        <v>590</v>
      </c>
      <c r="BC37" s="13"/>
      <c r="BD37" s="12"/>
      <c r="BE37" s="12" t="s">
        <v>174</v>
      </c>
    </row>
    <row r="38" customFormat="false" ht="23.85" hidden="false" customHeight="false" outlineLevel="0" collapsed="false">
      <c r="A38" s="12" t="s">
        <v>591</v>
      </c>
      <c r="B38" s="13" t="s">
        <v>592</v>
      </c>
      <c r="C38" s="13" t="s">
        <v>593</v>
      </c>
      <c r="D38" s="12" t="s">
        <v>146</v>
      </c>
      <c r="E38" s="12" t="s">
        <v>19</v>
      </c>
      <c r="F38" s="12" t="s">
        <v>46</v>
      </c>
      <c r="G38" s="12" t="s">
        <v>594</v>
      </c>
      <c r="H38" s="12" t="s">
        <v>583</v>
      </c>
      <c r="I38" s="12" t="s">
        <v>392</v>
      </c>
      <c r="J38" s="12" t="s">
        <v>150</v>
      </c>
      <c r="K38" s="12" t="s">
        <v>151</v>
      </c>
      <c r="L38" s="12" t="s">
        <v>69</v>
      </c>
      <c r="M38" s="12" t="s">
        <v>69</v>
      </c>
      <c r="N38" s="12"/>
      <c r="O38" s="12" t="s">
        <v>316</v>
      </c>
      <c r="P38" s="12" t="n">
        <v>4</v>
      </c>
      <c r="Q38" s="12" t="s">
        <v>189</v>
      </c>
      <c r="R38" s="12" t="s">
        <v>81</v>
      </c>
      <c r="S38" s="12" t="s">
        <v>317</v>
      </c>
      <c r="T38" s="12" t="s">
        <v>179</v>
      </c>
      <c r="U38" s="12" t="s">
        <v>346</v>
      </c>
      <c r="V38" s="12" t="s">
        <v>60</v>
      </c>
      <c r="W38" s="12" t="s">
        <v>60</v>
      </c>
      <c r="X38" s="12" t="s">
        <v>60</v>
      </c>
      <c r="Y38" s="12" t="s">
        <v>595</v>
      </c>
      <c r="Z38" s="12" t="s">
        <v>58</v>
      </c>
      <c r="AA38" s="12" t="s">
        <v>216</v>
      </c>
      <c r="AB38" s="18" t="s">
        <v>30</v>
      </c>
      <c r="AC38" s="12" t="s">
        <v>380</v>
      </c>
      <c r="AD38" s="13" t="s">
        <v>596</v>
      </c>
      <c r="AE38" s="12" t="s">
        <v>597</v>
      </c>
      <c r="AF38" s="12" t="n">
        <v>2021</v>
      </c>
      <c r="AG38" s="12" t="s">
        <v>597</v>
      </c>
      <c r="AH38" s="12"/>
      <c r="AI38" s="12"/>
      <c r="AJ38" s="12"/>
      <c r="AK38" s="12"/>
      <c r="AL38" s="12"/>
      <c r="AM38" s="12" t="s">
        <v>597</v>
      </c>
      <c r="AN38" s="12"/>
      <c r="AO38" s="12" t="s">
        <v>598</v>
      </c>
      <c r="AP38" s="13" t="s">
        <v>599</v>
      </c>
      <c r="AQ38" s="12" t="s">
        <v>197</v>
      </c>
      <c r="AR38" s="12"/>
      <c r="AS38" s="12"/>
      <c r="AT38" s="12"/>
      <c r="AU38" s="12"/>
      <c r="AV38" s="12"/>
      <c r="AW38" s="12" t="n">
        <v>0</v>
      </c>
      <c r="AX38" s="12" t="n">
        <v>4</v>
      </c>
      <c r="AY38" s="12" t="s">
        <v>338</v>
      </c>
      <c r="AZ38" s="12" t="n">
        <v>2</v>
      </c>
      <c r="BA38" s="12" t="n">
        <v>1</v>
      </c>
      <c r="BB38" s="12" t="s">
        <v>600</v>
      </c>
      <c r="BC38" s="13"/>
      <c r="BD38" s="12"/>
      <c r="BE38" s="12" t="s">
        <v>174</v>
      </c>
    </row>
    <row r="39" customFormat="false" ht="15" hidden="false" customHeight="false" outlineLevel="0" collapsed="false">
      <c r="A39" s="12" t="s">
        <v>601</v>
      </c>
      <c r="B39" s="13" t="s">
        <v>301</v>
      </c>
      <c r="C39" s="13" t="s">
        <v>302</v>
      </c>
      <c r="D39" s="12" t="s">
        <v>146</v>
      </c>
      <c r="E39" s="12" t="s">
        <v>19</v>
      </c>
      <c r="F39" s="12" t="s">
        <v>42</v>
      </c>
      <c r="G39" s="12" t="s">
        <v>602</v>
      </c>
      <c r="H39" s="12" t="s">
        <v>603</v>
      </c>
      <c r="I39" s="12" t="s">
        <v>392</v>
      </c>
      <c r="J39" s="12" t="s">
        <v>150</v>
      </c>
      <c r="K39" s="12" t="s">
        <v>151</v>
      </c>
      <c r="L39" s="12" t="s">
        <v>69</v>
      </c>
      <c r="M39" s="12" t="s">
        <v>69</v>
      </c>
      <c r="N39" s="12"/>
      <c r="O39" s="12" t="s">
        <v>152</v>
      </c>
      <c r="P39" s="12" t="n">
        <v>1</v>
      </c>
      <c r="Q39" s="12" t="s">
        <v>153</v>
      </c>
      <c r="R39" s="12" t="s">
        <v>78</v>
      </c>
      <c r="S39" s="12" t="s">
        <v>154</v>
      </c>
      <c r="T39" s="12" t="s">
        <v>155</v>
      </c>
      <c r="U39" s="12" t="s">
        <v>60</v>
      </c>
      <c r="V39" s="12" t="s">
        <v>60</v>
      </c>
      <c r="W39" s="12" t="s">
        <v>60</v>
      </c>
      <c r="X39" s="12" t="s">
        <v>60</v>
      </c>
      <c r="Y39" s="12" t="s">
        <v>180</v>
      </c>
      <c r="Z39" s="12" t="s">
        <v>52</v>
      </c>
      <c r="AA39" s="12" t="s">
        <v>216</v>
      </c>
      <c r="AB39" s="15" t="s">
        <v>27</v>
      </c>
      <c r="AC39" s="12" t="s">
        <v>205</v>
      </c>
      <c r="AD39" s="13" t="s">
        <v>305</v>
      </c>
      <c r="AE39" s="12" t="s">
        <v>306</v>
      </c>
      <c r="AF39" s="12" t="n">
        <v>2024</v>
      </c>
      <c r="AG39" s="12" t="s">
        <v>604</v>
      </c>
      <c r="AH39" s="12"/>
      <c r="AI39" s="12"/>
      <c r="AJ39" s="12"/>
      <c r="AK39" s="12"/>
      <c r="AL39" s="12"/>
      <c r="AM39" s="12" t="s">
        <v>306</v>
      </c>
      <c r="AN39" s="12"/>
      <c r="AO39" s="12" t="s">
        <v>307</v>
      </c>
      <c r="AP39" s="13"/>
      <c r="AQ39" s="12" t="s">
        <v>183</v>
      </c>
      <c r="AR39" s="12"/>
      <c r="AS39" s="12"/>
      <c r="AT39" s="12"/>
      <c r="AU39" s="12"/>
      <c r="AV39" s="12"/>
      <c r="AW39" s="12" t="n">
        <v>0</v>
      </c>
      <c r="AX39" s="12" t="n">
        <v>3</v>
      </c>
      <c r="AY39" s="12" t="s">
        <v>308</v>
      </c>
      <c r="AZ39" s="12" t="n">
        <v>1</v>
      </c>
      <c r="BA39" s="12" t="n">
        <v>0</v>
      </c>
      <c r="BB39" s="12" t="s">
        <v>309</v>
      </c>
      <c r="BC39" s="13" t="s">
        <v>310</v>
      </c>
      <c r="BD39" s="12"/>
      <c r="BE39" s="12" t="s">
        <v>174</v>
      </c>
    </row>
    <row r="40" customFormat="false" ht="15" hidden="false" customHeight="false" outlineLevel="0" collapsed="false">
      <c r="A40" s="12" t="s">
        <v>605</v>
      </c>
      <c r="B40" s="13" t="s">
        <v>606</v>
      </c>
      <c r="C40" s="13" t="s">
        <v>607</v>
      </c>
      <c r="D40" s="12" t="s">
        <v>146</v>
      </c>
      <c r="E40" s="12" t="s">
        <v>19</v>
      </c>
      <c r="F40" s="12" t="s">
        <v>42</v>
      </c>
      <c r="G40" s="12" t="s">
        <v>608</v>
      </c>
      <c r="H40" s="12" t="s">
        <v>609</v>
      </c>
      <c r="I40" s="12" t="s">
        <v>392</v>
      </c>
      <c r="J40" s="12" t="s">
        <v>150</v>
      </c>
      <c r="K40" s="12" t="s">
        <v>151</v>
      </c>
      <c r="L40" s="12" t="s">
        <v>69</v>
      </c>
      <c r="M40" s="12" t="s">
        <v>69</v>
      </c>
      <c r="N40" s="12"/>
      <c r="O40" s="12" t="s">
        <v>393</v>
      </c>
      <c r="P40" s="12" t="n">
        <v>4</v>
      </c>
      <c r="Q40" s="12" t="s">
        <v>189</v>
      </c>
      <c r="R40" s="12" t="s">
        <v>76</v>
      </c>
      <c r="S40" s="12" t="s">
        <v>410</v>
      </c>
      <c r="T40" s="12" t="s">
        <v>179</v>
      </c>
      <c r="U40" s="12" t="s">
        <v>60</v>
      </c>
      <c r="V40" s="12" t="s">
        <v>60</v>
      </c>
      <c r="W40" s="12" t="s">
        <v>60</v>
      </c>
      <c r="X40" s="12" t="s">
        <v>60</v>
      </c>
      <c r="Y40" s="12" t="s">
        <v>180</v>
      </c>
      <c r="Z40" s="12" t="s">
        <v>52</v>
      </c>
      <c r="AA40" s="12" t="s">
        <v>216</v>
      </c>
      <c r="AB40" s="15" t="s">
        <v>27</v>
      </c>
      <c r="AC40" s="12" t="s">
        <v>205</v>
      </c>
      <c r="AD40" s="13" t="s">
        <v>610</v>
      </c>
      <c r="AE40" s="12" t="s">
        <v>306</v>
      </c>
      <c r="AF40" s="12" t="n">
        <v>2024</v>
      </c>
      <c r="AG40" s="12" t="s">
        <v>604</v>
      </c>
      <c r="AH40" s="12"/>
      <c r="AI40" s="12"/>
      <c r="AJ40" s="12"/>
      <c r="AK40" s="12"/>
      <c r="AL40" s="12"/>
      <c r="AM40" s="12" t="s">
        <v>306</v>
      </c>
      <c r="AN40" s="12"/>
      <c r="AO40" s="12" t="s">
        <v>307</v>
      </c>
      <c r="AP40" s="13"/>
      <c r="AQ40" s="12" t="s">
        <v>183</v>
      </c>
      <c r="AR40" s="12"/>
      <c r="AS40" s="12"/>
      <c r="AT40" s="12"/>
      <c r="AU40" s="12"/>
      <c r="AV40" s="12"/>
      <c r="AW40" s="12" t="n">
        <v>0</v>
      </c>
      <c r="AX40" s="12" t="n">
        <v>3</v>
      </c>
      <c r="AY40" s="12" t="s">
        <v>308</v>
      </c>
      <c r="AZ40" s="12" t="n">
        <v>1</v>
      </c>
      <c r="BA40" s="12" t="n">
        <v>0</v>
      </c>
      <c r="BB40" s="12" t="s">
        <v>309</v>
      </c>
      <c r="BC40" s="13" t="s">
        <v>611</v>
      </c>
      <c r="BD40" s="12"/>
      <c r="BE40" s="12" t="s">
        <v>174</v>
      </c>
    </row>
    <row r="41" customFormat="false" ht="23.85" hidden="false" customHeight="false" outlineLevel="0" collapsed="false">
      <c r="A41" s="12" t="s">
        <v>612</v>
      </c>
      <c r="B41" s="13" t="s">
        <v>613</v>
      </c>
      <c r="C41" s="13" t="s">
        <v>614</v>
      </c>
      <c r="D41" s="12" t="s">
        <v>146</v>
      </c>
      <c r="E41" s="12" t="s">
        <v>20</v>
      </c>
      <c r="F41" s="12" t="s">
        <v>38</v>
      </c>
      <c r="G41" s="12" t="s">
        <v>615</v>
      </c>
      <c r="H41" s="12" t="s">
        <v>616</v>
      </c>
      <c r="I41" s="12" t="s">
        <v>617</v>
      </c>
      <c r="J41" s="12" t="s">
        <v>618</v>
      </c>
      <c r="K41" s="12" t="s">
        <v>616</v>
      </c>
      <c r="L41" s="12" t="s">
        <v>20</v>
      </c>
      <c r="M41" s="12" t="s">
        <v>66</v>
      </c>
      <c r="N41" s="12" t="s">
        <v>619</v>
      </c>
      <c r="O41" s="12" t="s">
        <v>234</v>
      </c>
      <c r="P41" s="12" t="n">
        <v>1</v>
      </c>
      <c r="Q41" s="12" t="s">
        <v>153</v>
      </c>
      <c r="R41" s="12" t="s">
        <v>77</v>
      </c>
      <c r="S41" s="12" t="s">
        <v>235</v>
      </c>
      <c r="T41" s="12" t="s">
        <v>191</v>
      </c>
      <c r="U41" s="12" t="s">
        <v>620</v>
      </c>
      <c r="V41" s="12" t="s">
        <v>60</v>
      </c>
      <c r="W41" s="12" t="s">
        <v>60</v>
      </c>
      <c r="X41" s="12" t="s">
        <v>159</v>
      </c>
      <c r="Y41" s="12" t="s">
        <v>621</v>
      </c>
      <c r="Z41" s="12" t="s">
        <v>54</v>
      </c>
      <c r="AA41" s="12" t="s">
        <v>216</v>
      </c>
      <c r="AB41" s="17" t="s">
        <v>29</v>
      </c>
      <c r="AC41" s="12" t="s">
        <v>29</v>
      </c>
      <c r="AD41" s="13" t="s">
        <v>622</v>
      </c>
      <c r="AE41" s="12" t="s">
        <v>623</v>
      </c>
      <c r="AF41" s="12" t="n">
        <v>2017</v>
      </c>
      <c r="AG41" s="12" t="s">
        <v>624</v>
      </c>
      <c r="AH41" s="12" t="s">
        <v>625</v>
      </c>
      <c r="AI41" s="12"/>
      <c r="AJ41" s="12"/>
      <c r="AK41" s="12"/>
      <c r="AL41" s="12"/>
      <c r="AM41" s="12" t="s">
        <v>623</v>
      </c>
      <c r="AN41" s="12"/>
      <c r="AO41" s="12" t="s">
        <v>626</v>
      </c>
      <c r="AP41" s="13" t="s">
        <v>627</v>
      </c>
      <c r="AQ41" s="12" t="s">
        <v>230</v>
      </c>
      <c r="AR41" s="12"/>
      <c r="AS41" s="12"/>
      <c r="AT41" s="12"/>
      <c r="AU41" s="12" t="s">
        <v>628</v>
      </c>
      <c r="AV41" s="12" t="s">
        <v>363</v>
      </c>
      <c r="AW41" s="12" t="n">
        <v>2</v>
      </c>
      <c r="AX41" s="12" t="n">
        <v>3</v>
      </c>
      <c r="AY41" s="12" t="s">
        <v>308</v>
      </c>
      <c r="AZ41" s="12" t="n">
        <v>6</v>
      </c>
      <c r="BA41" s="12" t="n">
        <v>0</v>
      </c>
      <c r="BB41" s="12" t="s">
        <v>629</v>
      </c>
      <c r="BC41" s="13"/>
      <c r="BD41" s="12"/>
      <c r="BE41" s="12" t="s">
        <v>174</v>
      </c>
    </row>
    <row r="42" customFormat="false" ht="15" hidden="false" customHeight="false" outlineLevel="0" collapsed="false">
      <c r="A42" s="12" t="s">
        <v>630</v>
      </c>
      <c r="B42" s="13" t="s">
        <v>631</v>
      </c>
      <c r="C42" s="13" t="s">
        <v>632</v>
      </c>
      <c r="D42" s="12" t="s">
        <v>146</v>
      </c>
      <c r="E42" s="12" t="s">
        <v>20</v>
      </c>
      <c r="F42" s="12" t="s">
        <v>38</v>
      </c>
      <c r="G42" s="12" t="s">
        <v>633</v>
      </c>
      <c r="H42" s="12" t="s">
        <v>616</v>
      </c>
      <c r="I42" s="12" t="s">
        <v>617</v>
      </c>
      <c r="J42" s="12" t="s">
        <v>618</v>
      </c>
      <c r="K42" s="12" t="s">
        <v>616</v>
      </c>
      <c r="L42" s="12" t="s">
        <v>20</v>
      </c>
      <c r="M42" s="12" t="s">
        <v>66</v>
      </c>
      <c r="N42" s="12" t="s">
        <v>619</v>
      </c>
      <c r="O42" s="12" t="s">
        <v>345</v>
      </c>
      <c r="P42" s="12" t="n">
        <v>4</v>
      </c>
      <c r="Q42" s="12" t="s">
        <v>189</v>
      </c>
      <c r="R42" s="12" t="s">
        <v>80</v>
      </c>
      <c r="S42" s="12" t="s">
        <v>246</v>
      </c>
      <c r="T42" s="12" t="s">
        <v>191</v>
      </c>
      <c r="U42" s="12" t="s">
        <v>346</v>
      </c>
      <c r="V42" s="12" t="s">
        <v>60</v>
      </c>
      <c r="W42" s="12" t="s">
        <v>60</v>
      </c>
      <c r="X42" s="12" t="s">
        <v>60</v>
      </c>
      <c r="Y42" s="12" t="s">
        <v>215</v>
      </c>
      <c r="Z42" s="12" t="s">
        <v>60</v>
      </c>
      <c r="AA42" s="12" t="s">
        <v>216</v>
      </c>
      <c r="AB42" s="18" t="s">
        <v>30</v>
      </c>
      <c r="AC42" s="12" t="s">
        <v>380</v>
      </c>
      <c r="AD42" s="13" t="s">
        <v>634</v>
      </c>
      <c r="AE42" s="12" t="s">
        <v>635</v>
      </c>
      <c r="AF42" s="12" t="n">
        <v>2017</v>
      </c>
      <c r="AG42" s="12" t="n">
        <v>2017</v>
      </c>
      <c r="AH42" s="12"/>
      <c r="AI42" s="12"/>
      <c r="AJ42" s="12"/>
      <c r="AK42" s="12"/>
      <c r="AL42" s="12"/>
      <c r="AM42" s="12" t="s">
        <v>635</v>
      </c>
      <c r="AN42" s="12"/>
      <c r="AO42" s="12" t="s">
        <v>636</v>
      </c>
      <c r="AP42" s="13"/>
      <c r="AQ42" s="12" t="s">
        <v>183</v>
      </c>
      <c r="AR42" s="12"/>
      <c r="AS42" s="12"/>
      <c r="AT42" s="12"/>
      <c r="AU42" s="12"/>
      <c r="AV42" s="12"/>
      <c r="AW42" s="12" t="n">
        <v>0</v>
      </c>
      <c r="AX42" s="12" t="n">
        <v>3</v>
      </c>
      <c r="AY42" s="12" t="s">
        <v>308</v>
      </c>
      <c r="AZ42" s="12" t="n">
        <v>1</v>
      </c>
      <c r="BA42" s="12" t="n">
        <v>0</v>
      </c>
      <c r="BB42" s="12" t="s">
        <v>629</v>
      </c>
      <c r="BC42" s="13"/>
      <c r="BD42" s="12"/>
      <c r="BE42" s="12" t="s">
        <v>174</v>
      </c>
    </row>
    <row r="43" customFormat="false" ht="23.85" hidden="false" customHeight="false" outlineLevel="0" collapsed="false">
      <c r="A43" s="12" t="s">
        <v>637</v>
      </c>
      <c r="B43" s="13" t="s">
        <v>638</v>
      </c>
      <c r="C43" s="13" t="s">
        <v>639</v>
      </c>
      <c r="D43" s="12" t="s">
        <v>146</v>
      </c>
      <c r="E43" s="12" t="s">
        <v>20</v>
      </c>
      <c r="F43" s="12" t="s">
        <v>38</v>
      </c>
      <c r="G43" s="12" t="s">
        <v>640</v>
      </c>
      <c r="H43" s="12" t="s">
        <v>616</v>
      </c>
      <c r="I43" s="12" t="s">
        <v>617</v>
      </c>
      <c r="J43" s="12" t="s">
        <v>618</v>
      </c>
      <c r="K43" s="12" t="s">
        <v>616</v>
      </c>
      <c r="L43" s="12" t="s">
        <v>20</v>
      </c>
      <c r="M43" s="12" t="s">
        <v>66</v>
      </c>
      <c r="N43" s="12" t="s">
        <v>619</v>
      </c>
      <c r="O43" s="12" t="s">
        <v>285</v>
      </c>
      <c r="P43" s="12" t="n">
        <v>10</v>
      </c>
      <c r="Q43" s="12" t="s">
        <v>286</v>
      </c>
      <c r="R43" s="12" t="s">
        <v>83</v>
      </c>
      <c r="S43" s="12" t="s">
        <v>287</v>
      </c>
      <c r="T43" s="12" t="s">
        <v>191</v>
      </c>
      <c r="U43" s="12" t="s">
        <v>346</v>
      </c>
      <c r="V43" s="12" t="s">
        <v>60</v>
      </c>
      <c r="W43" s="12" t="s">
        <v>60</v>
      </c>
      <c r="X43" s="12" t="s">
        <v>60</v>
      </c>
      <c r="Y43" s="12" t="s">
        <v>641</v>
      </c>
      <c r="Z43" s="12" t="s">
        <v>54</v>
      </c>
      <c r="AA43" s="12" t="s">
        <v>216</v>
      </c>
      <c r="AB43" s="18" t="s">
        <v>30</v>
      </c>
      <c r="AC43" s="12" t="s">
        <v>380</v>
      </c>
      <c r="AD43" s="13" t="s">
        <v>642</v>
      </c>
      <c r="AE43" s="12" t="n">
        <v>2019</v>
      </c>
      <c r="AF43" s="12" t="n">
        <v>2019</v>
      </c>
      <c r="AG43" s="12" t="s">
        <v>643</v>
      </c>
      <c r="AH43" s="12" t="n">
        <v>2017</v>
      </c>
      <c r="AI43" s="12"/>
      <c r="AJ43" s="12"/>
      <c r="AK43" s="12"/>
      <c r="AL43" s="12"/>
      <c r="AM43" s="12" t="n">
        <v>2019</v>
      </c>
      <c r="AN43" s="12"/>
      <c r="AO43" s="12" t="s">
        <v>644</v>
      </c>
      <c r="AP43" s="13" t="s">
        <v>645</v>
      </c>
      <c r="AQ43" s="12" t="s">
        <v>169</v>
      </c>
      <c r="AR43" s="12"/>
      <c r="AS43" s="12"/>
      <c r="AT43" s="12"/>
      <c r="AU43" s="12"/>
      <c r="AV43" s="12"/>
      <c r="AW43" s="12" t="n">
        <v>0</v>
      </c>
      <c r="AX43" s="12" t="n">
        <v>3</v>
      </c>
      <c r="AY43" s="12" t="s">
        <v>308</v>
      </c>
      <c r="AZ43" s="12" t="n">
        <v>2</v>
      </c>
      <c r="BA43" s="12" t="n">
        <v>0</v>
      </c>
      <c r="BB43" s="12" t="s">
        <v>646</v>
      </c>
      <c r="BC43" s="13"/>
      <c r="BD43" s="12"/>
      <c r="BE43" s="12" t="s">
        <v>174</v>
      </c>
    </row>
    <row r="44" customFormat="false" ht="35.05" hidden="false" customHeight="false" outlineLevel="0" collapsed="false">
      <c r="A44" s="12" t="s">
        <v>647</v>
      </c>
      <c r="B44" s="13" t="s">
        <v>648</v>
      </c>
      <c r="C44" s="13" t="s">
        <v>649</v>
      </c>
      <c r="D44" s="12" t="s">
        <v>146</v>
      </c>
      <c r="E44" s="12" t="s">
        <v>20</v>
      </c>
      <c r="F44" s="12" t="s">
        <v>38</v>
      </c>
      <c r="G44" s="12" t="s">
        <v>650</v>
      </c>
      <c r="H44" s="12" t="s">
        <v>616</v>
      </c>
      <c r="I44" s="12" t="s">
        <v>617</v>
      </c>
      <c r="J44" s="12" t="s">
        <v>618</v>
      </c>
      <c r="K44" s="12" t="s">
        <v>616</v>
      </c>
      <c r="L44" s="12" t="s">
        <v>20</v>
      </c>
      <c r="M44" s="12" t="s">
        <v>66</v>
      </c>
      <c r="N44" s="12" t="s">
        <v>619</v>
      </c>
      <c r="O44" s="12" t="s">
        <v>234</v>
      </c>
      <c r="P44" s="12" t="n">
        <v>1</v>
      </c>
      <c r="Q44" s="12" t="s">
        <v>153</v>
      </c>
      <c r="R44" s="12" t="s">
        <v>77</v>
      </c>
      <c r="S44" s="12" t="s">
        <v>235</v>
      </c>
      <c r="T44" s="12" t="s">
        <v>191</v>
      </c>
      <c r="U44" s="12" t="s">
        <v>156</v>
      </c>
      <c r="V44" s="12" t="s">
        <v>157</v>
      </c>
      <c r="W44" s="12" t="s">
        <v>158</v>
      </c>
      <c r="X44" s="12" t="s">
        <v>159</v>
      </c>
      <c r="Y44" s="12" t="s">
        <v>180</v>
      </c>
      <c r="Z44" s="12" t="s">
        <v>52</v>
      </c>
      <c r="AA44" s="12" t="s">
        <v>161</v>
      </c>
      <c r="AB44" s="18" t="s">
        <v>30</v>
      </c>
      <c r="AC44" s="12" t="s">
        <v>380</v>
      </c>
      <c r="AD44" s="13" t="s">
        <v>651</v>
      </c>
      <c r="AE44" s="12" t="s">
        <v>164</v>
      </c>
      <c r="AF44" s="12" t="n">
        <v>2023</v>
      </c>
      <c r="AG44" s="12"/>
      <c r="AH44" s="12"/>
      <c r="AI44" s="12"/>
      <c r="AJ44" s="12" t="s">
        <v>652</v>
      </c>
      <c r="AK44" s="12"/>
      <c r="AL44" s="12"/>
      <c r="AM44" s="12" t="s">
        <v>164</v>
      </c>
      <c r="AN44" s="12"/>
      <c r="AO44" s="12" t="s">
        <v>167</v>
      </c>
      <c r="AP44" s="13"/>
      <c r="AQ44" s="12" t="s">
        <v>183</v>
      </c>
      <c r="AR44" s="12" t="n">
        <v>12</v>
      </c>
      <c r="AS44" s="12" t="n">
        <v>0</v>
      </c>
      <c r="AT44" s="12" t="s">
        <v>653</v>
      </c>
      <c r="AU44" s="12"/>
      <c r="AV44" s="12"/>
      <c r="AW44" s="12" t="n">
        <v>0</v>
      </c>
      <c r="AX44" s="12" t="n">
        <v>5</v>
      </c>
      <c r="AY44" s="12" t="s">
        <v>172</v>
      </c>
      <c r="AZ44" s="12" t="n">
        <v>2</v>
      </c>
      <c r="BA44" s="12" t="n">
        <v>1</v>
      </c>
      <c r="BB44" s="12" t="s">
        <v>173</v>
      </c>
      <c r="BC44" s="13" t="s">
        <v>654</v>
      </c>
      <c r="BD44" s="12"/>
      <c r="BE44" s="12" t="s">
        <v>174</v>
      </c>
    </row>
    <row r="45" customFormat="false" ht="23.85" hidden="false" customHeight="false" outlineLevel="0" collapsed="false">
      <c r="A45" s="12" t="s">
        <v>655</v>
      </c>
      <c r="B45" s="13" t="s">
        <v>656</v>
      </c>
      <c r="C45" s="13" t="s">
        <v>657</v>
      </c>
      <c r="D45" s="12" t="s">
        <v>146</v>
      </c>
      <c r="E45" s="12" t="s">
        <v>20</v>
      </c>
      <c r="F45" s="12" t="s">
        <v>39</v>
      </c>
      <c r="G45" s="12" t="s">
        <v>658</v>
      </c>
      <c r="H45" s="12" t="s">
        <v>616</v>
      </c>
      <c r="I45" s="12" t="s">
        <v>617</v>
      </c>
      <c r="J45" s="12" t="s">
        <v>618</v>
      </c>
      <c r="K45" s="12" t="s">
        <v>616</v>
      </c>
      <c r="L45" s="12" t="s">
        <v>20</v>
      </c>
      <c r="M45" s="12" t="s">
        <v>66</v>
      </c>
      <c r="N45" s="12" t="s">
        <v>619</v>
      </c>
      <c r="O45" s="12" t="s">
        <v>234</v>
      </c>
      <c r="P45" s="12" t="n">
        <v>1</v>
      </c>
      <c r="Q45" s="12" t="s">
        <v>153</v>
      </c>
      <c r="R45" s="12" t="s">
        <v>77</v>
      </c>
      <c r="S45" s="12" t="s">
        <v>235</v>
      </c>
      <c r="T45" s="12" t="s">
        <v>191</v>
      </c>
      <c r="U45" s="12" t="s">
        <v>346</v>
      </c>
      <c r="V45" s="12" t="s">
        <v>60</v>
      </c>
      <c r="W45" s="12" t="s">
        <v>60</v>
      </c>
      <c r="X45" s="12" t="s">
        <v>60</v>
      </c>
      <c r="Y45" s="12" t="s">
        <v>215</v>
      </c>
      <c r="Z45" s="12" t="s">
        <v>60</v>
      </c>
      <c r="AA45" s="12" t="s">
        <v>216</v>
      </c>
      <c r="AB45" s="16" t="s">
        <v>28</v>
      </c>
      <c r="AC45" s="12" t="s">
        <v>262</v>
      </c>
      <c r="AD45" s="13" t="s">
        <v>659</v>
      </c>
      <c r="AE45" s="12" t="s">
        <v>660</v>
      </c>
      <c r="AF45" s="12" t="n">
        <v>2025</v>
      </c>
      <c r="AG45" s="12" t="s">
        <v>661</v>
      </c>
      <c r="AH45" s="12"/>
      <c r="AI45" s="12"/>
      <c r="AJ45" s="12"/>
      <c r="AK45" s="12"/>
      <c r="AL45" s="12"/>
      <c r="AM45" s="12" t="s">
        <v>660</v>
      </c>
      <c r="AN45" s="12"/>
      <c r="AO45" s="12" t="s">
        <v>662</v>
      </c>
      <c r="AP45" s="13"/>
      <c r="AQ45" s="12" t="s">
        <v>183</v>
      </c>
      <c r="AR45" s="12"/>
      <c r="AS45" s="12"/>
      <c r="AT45" s="12"/>
      <c r="AU45" s="12" t="s">
        <v>663</v>
      </c>
      <c r="AV45" s="12" t="s">
        <v>363</v>
      </c>
      <c r="AW45" s="12" t="n">
        <v>1</v>
      </c>
      <c r="AX45" s="12" t="n">
        <v>3</v>
      </c>
      <c r="AY45" s="12" t="s">
        <v>308</v>
      </c>
      <c r="AZ45" s="12" t="n">
        <v>1</v>
      </c>
      <c r="BA45" s="12" t="n">
        <v>0</v>
      </c>
      <c r="BB45" s="12" t="s">
        <v>664</v>
      </c>
      <c r="BC45" s="13"/>
      <c r="BD45" s="12"/>
      <c r="BE45" s="12" t="s">
        <v>174</v>
      </c>
    </row>
    <row r="46" customFormat="false" ht="35.05" hidden="false" customHeight="false" outlineLevel="0" collapsed="false">
      <c r="A46" s="12" t="s">
        <v>665</v>
      </c>
      <c r="B46" s="13" t="s">
        <v>666</v>
      </c>
      <c r="C46" s="13" t="s">
        <v>667</v>
      </c>
      <c r="D46" s="12" t="s">
        <v>146</v>
      </c>
      <c r="E46" s="12" t="s">
        <v>20</v>
      </c>
      <c r="F46" s="12" t="s">
        <v>38</v>
      </c>
      <c r="G46" s="12" t="s">
        <v>668</v>
      </c>
      <c r="H46" s="12" t="s">
        <v>616</v>
      </c>
      <c r="I46" s="12" t="s">
        <v>617</v>
      </c>
      <c r="J46" s="12" t="s">
        <v>618</v>
      </c>
      <c r="K46" s="12" t="s">
        <v>616</v>
      </c>
      <c r="L46" s="12" t="s">
        <v>20</v>
      </c>
      <c r="M46" s="12" t="s">
        <v>66</v>
      </c>
      <c r="N46" s="12" t="s">
        <v>619</v>
      </c>
      <c r="O46" s="12" t="s">
        <v>234</v>
      </c>
      <c r="P46" s="12" t="n">
        <v>1</v>
      </c>
      <c r="Q46" s="12" t="s">
        <v>153</v>
      </c>
      <c r="R46" s="12" t="s">
        <v>77</v>
      </c>
      <c r="S46" s="12" t="s">
        <v>235</v>
      </c>
      <c r="T46" s="12" t="s">
        <v>191</v>
      </c>
      <c r="U46" s="12" t="s">
        <v>214</v>
      </c>
      <c r="V46" s="12" t="s">
        <v>157</v>
      </c>
      <c r="W46" s="12" t="s">
        <v>158</v>
      </c>
      <c r="X46" s="12" t="s">
        <v>159</v>
      </c>
      <c r="Y46" s="12" t="s">
        <v>180</v>
      </c>
      <c r="Z46" s="12" t="s">
        <v>52</v>
      </c>
      <c r="AA46" s="12" t="s">
        <v>161</v>
      </c>
      <c r="AB46" s="15" t="s">
        <v>27</v>
      </c>
      <c r="AC46" s="12" t="s">
        <v>205</v>
      </c>
      <c r="AD46" s="13" t="s">
        <v>669</v>
      </c>
      <c r="AE46" s="12" t="s">
        <v>248</v>
      </c>
      <c r="AF46" s="12" t="n">
        <v>2026</v>
      </c>
      <c r="AG46" s="12" t="s">
        <v>670</v>
      </c>
      <c r="AH46" s="12" t="s">
        <v>671</v>
      </c>
      <c r="AI46" s="12"/>
      <c r="AJ46" s="12"/>
      <c r="AK46" s="12"/>
      <c r="AL46" s="12"/>
      <c r="AM46" s="12" t="s">
        <v>248</v>
      </c>
      <c r="AN46" s="12"/>
      <c r="AO46" s="12" t="s">
        <v>167</v>
      </c>
      <c r="AP46" s="13" t="s">
        <v>672</v>
      </c>
      <c r="AQ46" s="12" t="s">
        <v>230</v>
      </c>
      <c r="AR46" s="12" t="n">
        <v>316434</v>
      </c>
      <c r="AS46" s="12" t="n">
        <v>160368</v>
      </c>
      <c r="AT46" s="12" t="s">
        <v>248</v>
      </c>
      <c r="AU46" s="12" t="s">
        <v>673</v>
      </c>
      <c r="AV46" s="12" t="s">
        <v>363</v>
      </c>
      <c r="AW46" s="12" t="n">
        <v>2</v>
      </c>
      <c r="AX46" s="12" t="n">
        <v>5</v>
      </c>
      <c r="AY46" s="12" t="s">
        <v>172</v>
      </c>
      <c r="AZ46" s="12" t="n">
        <v>7</v>
      </c>
      <c r="BA46" s="12" t="n">
        <v>3</v>
      </c>
      <c r="BB46" s="12" t="s">
        <v>173</v>
      </c>
      <c r="BC46" s="13"/>
      <c r="BD46" s="12"/>
      <c r="BE46" s="12" t="s">
        <v>174</v>
      </c>
    </row>
    <row r="47" customFormat="false" ht="23.85" hidden="false" customHeight="false" outlineLevel="0" collapsed="false">
      <c r="A47" s="12" t="s">
        <v>674</v>
      </c>
      <c r="B47" s="13" t="s">
        <v>675</v>
      </c>
      <c r="C47" s="13" t="s">
        <v>676</v>
      </c>
      <c r="D47" s="12" t="s">
        <v>146</v>
      </c>
      <c r="E47" s="12" t="s">
        <v>20</v>
      </c>
      <c r="F47" s="12" t="s">
        <v>38</v>
      </c>
      <c r="G47" s="12" t="s">
        <v>677</v>
      </c>
      <c r="H47" s="12" t="s">
        <v>616</v>
      </c>
      <c r="I47" s="12" t="s">
        <v>617</v>
      </c>
      <c r="J47" s="12" t="s">
        <v>618</v>
      </c>
      <c r="K47" s="12" t="s">
        <v>616</v>
      </c>
      <c r="L47" s="12" t="s">
        <v>20</v>
      </c>
      <c r="M47" s="12" t="s">
        <v>66</v>
      </c>
      <c r="N47" s="12" t="s">
        <v>619</v>
      </c>
      <c r="O47" s="12" t="s">
        <v>234</v>
      </c>
      <c r="P47" s="12" t="n">
        <v>1</v>
      </c>
      <c r="Q47" s="12" t="s">
        <v>153</v>
      </c>
      <c r="R47" s="12" t="s">
        <v>77</v>
      </c>
      <c r="S47" s="12" t="s">
        <v>235</v>
      </c>
      <c r="T47" s="12" t="s">
        <v>191</v>
      </c>
      <c r="U47" s="12" t="s">
        <v>60</v>
      </c>
      <c r="V47" s="12" t="s">
        <v>60</v>
      </c>
      <c r="W47" s="12" t="s">
        <v>60</v>
      </c>
      <c r="X47" s="12" t="s">
        <v>60</v>
      </c>
      <c r="Y47" s="12" t="s">
        <v>215</v>
      </c>
      <c r="Z47" s="12" t="s">
        <v>60</v>
      </c>
      <c r="AA47" s="12" t="s">
        <v>216</v>
      </c>
      <c r="AB47" s="15" t="s">
        <v>27</v>
      </c>
      <c r="AC47" s="12" t="s">
        <v>205</v>
      </c>
      <c r="AD47" s="13" t="s">
        <v>678</v>
      </c>
      <c r="AE47" s="12" t="s">
        <v>679</v>
      </c>
      <c r="AF47" s="12" t="n">
        <v>2026</v>
      </c>
      <c r="AG47" s="12" t="s">
        <v>679</v>
      </c>
      <c r="AH47" s="12"/>
      <c r="AI47" s="12"/>
      <c r="AJ47" s="12"/>
      <c r="AK47" s="12"/>
      <c r="AL47" s="12"/>
      <c r="AM47" s="12" t="s">
        <v>679</v>
      </c>
      <c r="AN47" s="12"/>
      <c r="AO47" s="12" t="s">
        <v>296</v>
      </c>
      <c r="AP47" s="13" t="s">
        <v>680</v>
      </c>
      <c r="AQ47" s="12" t="s">
        <v>169</v>
      </c>
      <c r="AR47" s="12"/>
      <c r="AS47" s="12"/>
      <c r="AT47" s="12"/>
      <c r="AU47" s="12" t="s">
        <v>663</v>
      </c>
      <c r="AV47" s="12" t="s">
        <v>363</v>
      </c>
      <c r="AW47" s="12" t="n">
        <v>1</v>
      </c>
      <c r="AX47" s="12" t="n">
        <v>3</v>
      </c>
      <c r="AY47" s="12" t="s">
        <v>308</v>
      </c>
      <c r="AZ47" s="12" t="n">
        <v>1</v>
      </c>
      <c r="BA47" s="12" t="n">
        <v>0</v>
      </c>
      <c r="BB47" s="12" t="s">
        <v>681</v>
      </c>
      <c r="BC47" s="13"/>
      <c r="BD47" s="12"/>
      <c r="BE47" s="12" t="s">
        <v>174</v>
      </c>
    </row>
    <row r="48" customFormat="false" ht="23.85" hidden="false" customHeight="false" outlineLevel="0" collapsed="false">
      <c r="A48" s="12" t="s">
        <v>682</v>
      </c>
      <c r="B48" s="13" t="s">
        <v>683</v>
      </c>
      <c r="C48" s="13" t="s">
        <v>684</v>
      </c>
      <c r="D48" s="12" t="s">
        <v>146</v>
      </c>
      <c r="E48" s="12" t="s">
        <v>20</v>
      </c>
      <c r="F48" s="12" t="s">
        <v>38</v>
      </c>
      <c r="G48" s="12" t="s">
        <v>685</v>
      </c>
      <c r="H48" s="12" t="s">
        <v>686</v>
      </c>
      <c r="I48" s="12" t="s">
        <v>617</v>
      </c>
      <c r="J48" s="12" t="s">
        <v>687</v>
      </c>
      <c r="K48" s="12" t="s">
        <v>686</v>
      </c>
      <c r="L48" s="12" t="s">
        <v>20</v>
      </c>
      <c r="M48" s="12" t="s">
        <v>67</v>
      </c>
      <c r="N48" s="12" t="s">
        <v>688</v>
      </c>
      <c r="O48" s="12" t="s">
        <v>234</v>
      </c>
      <c r="P48" s="12" t="n">
        <v>1</v>
      </c>
      <c r="Q48" s="12" t="s">
        <v>153</v>
      </c>
      <c r="R48" s="12" t="s">
        <v>77</v>
      </c>
      <c r="S48" s="12" t="s">
        <v>235</v>
      </c>
      <c r="T48" s="12" t="s">
        <v>191</v>
      </c>
      <c r="U48" s="12" t="s">
        <v>156</v>
      </c>
      <c r="V48" s="12" t="s">
        <v>157</v>
      </c>
      <c r="W48" s="12" t="s">
        <v>158</v>
      </c>
      <c r="X48" s="12" t="s">
        <v>159</v>
      </c>
      <c r="Y48" s="12" t="s">
        <v>180</v>
      </c>
      <c r="Z48" s="12" t="s">
        <v>52</v>
      </c>
      <c r="AA48" s="12" t="s">
        <v>161</v>
      </c>
      <c r="AB48" s="15" t="s">
        <v>27</v>
      </c>
      <c r="AC48" s="12" t="s">
        <v>205</v>
      </c>
      <c r="AD48" s="13" t="s">
        <v>689</v>
      </c>
      <c r="AE48" s="12" t="s">
        <v>164</v>
      </c>
      <c r="AF48" s="12" t="n">
        <v>2024</v>
      </c>
      <c r="AG48" s="12"/>
      <c r="AH48" s="12" t="s">
        <v>690</v>
      </c>
      <c r="AI48" s="12"/>
      <c r="AJ48" s="12"/>
      <c r="AK48" s="12"/>
      <c r="AL48" s="12"/>
      <c r="AM48" s="12" t="s">
        <v>164</v>
      </c>
      <c r="AN48" s="12"/>
      <c r="AO48" s="12" t="s">
        <v>167</v>
      </c>
      <c r="AP48" s="13" t="s">
        <v>691</v>
      </c>
      <c r="AQ48" s="12" t="s">
        <v>183</v>
      </c>
      <c r="AR48" s="12"/>
      <c r="AS48" s="12"/>
      <c r="AT48" s="12"/>
      <c r="AU48" s="12"/>
      <c r="AV48" s="12"/>
      <c r="AW48" s="12" t="n">
        <v>0</v>
      </c>
      <c r="AX48" s="12" t="n">
        <v>5</v>
      </c>
      <c r="AY48" s="12" t="s">
        <v>172</v>
      </c>
      <c r="AZ48" s="12" t="n">
        <v>4</v>
      </c>
      <c r="BA48" s="12" t="n">
        <v>3</v>
      </c>
      <c r="BB48" s="12" t="s">
        <v>173</v>
      </c>
      <c r="BC48" s="13"/>
      <c r="BD48" s="12"/>
      <c r="BE48" s="12" t="s">
        <v>174</v>
      </c>
    </row>
    <row r="49" customFormat="false" ht="23.85" hidden="false" customHeight="false" outlineLevel="0" collapsed="false">
      <c r="A49" s="12" t="s">
        <v>692</v>
      </c>
      <c r="B49" s="13" t="s">
        <v>693</v>
      </c>
      <c r="C49" s="13" t="s">
        <v>694</v>
      </c>
      <c r="D49" s="12" t="s">
        <v>146</v>
      </c>
      <c r="E49" s="12" t="s">
        <v>20</v>
      </c>
      <c r="F49" s="12" t="s">
        <v>45</v>
      </c>
      <c r="G49" s="12" t="s">
        <v>695</v>
      </c>
      <c r="H49" s="12" t="s">
        <v>696</v>
      </c>
      <c r="I49" s="12" t="s">
        <v>617</v>
      </c>
      <c r="J49" s="12" t="s">
        <v>697</v>
      </c>
      <c r="K49" s="12" t="s">
        <v>696</v>
      </c>
      <c r="L49" s="12" t="s">
        <v>20</v>
      </c>
      <c r="M49" s="12" t="s">
        <v>64</v>
      </c>
      <c r="N49" s="12" t="s">
        <v>698</v>
      </c>
      <c r="O49" s="12" t="s">
        <v>471</v>
      </c>
      <c r="P49" s="12" t="n">
        <v>1</v>
      </c>
      <c r="Q49" s="12" t="s">
        <v>153</v>
      </c>
      <c r="R49" s="12" t="s">
        <v>74</v>
      </c>
      <c r="S49" s="12" t="s">
        <v>472</v>
      </c>
      <c r="T49" s="12" t="s">
        <v>191</v>
      </c>
      <c r="U49" s="12" t="s">
        <v>699</v>
      </c>
      <c r="V49" s="12" t="s">
        <v>553</v>
      </c>
      <c r="W49" s="12" t="s">
        <v>554</v>
      </c>
      <c r="X49" s="12" t="s">
        <v>700</v>
      </c>
      <c r="Y49" s="12" t="s">
        <v>701</v>
      </c>
      <c r="Z49" s="12" t="s">
        <v>57</v>
      </c>
      <c r="AA49" s="12" t="s">
        <v>216</v>
      </c>
      <c r="AB49" s="17" t="s">
        <v>29</v>
      </c>
      <c r="AC49" s="12" t="s">
        <v>29</v>
      </c>
      <c r="AD49" s="13" t="s">
        <v>702</v>
      </c>
      <c r="AE49" s="12" t="s">
        <v>703</v>
      </c>
      <c r="AF49" s="12" t="n">
        <v>2025</v>
      </c>
      <c r="AG49" s="12" t="s">
        <v>670</v>
      </c>
      <c r="AH49" s="12"/>
      <c r="AI49" s="12" t="s">
        <v>670</v>
      </c>
      <c r="AJ49" s="12"/>
      <c r="AK49" s="12"/>
      <c r="AL49" s="12"/>
      <c r="AM49" s="12" t="s">
        <v>703</v>
      </c>
      <c r="AN49" s="12"/>
      <c r="AO49" s="12" t="s">
        <v>704</v>
      </c>
      <c r="AP49" s="13" t="s">
        <v>705</v>
      </c>
      <c r="AQ49" s="12" t="s">
        <v>230</v>
      </c>
      <c r="AR49" s="12"/>
      <c r="AS49" s="12"/>
      <c r="AT49" s="12"/>
      <c r="AU49" s="12"/>
      <c r="AV49" s="12"/>
      <c r="AW49" s="12" t="n">
        <v>0</v>
      </c>
      <c r="AX49" s="12" t="n">
        <v>4</v>
      </c>
      <c r="AY49" s="12" t="s">
        <v>338</v>
      </c>
      <c r="AZ49" s="12" t="n">
        <v>2</v>
      </c>
      <c r="BA49" s="12" t="n">
        <v>1</v>
      </c>
      <c r="BB49" s="12" t="s">
        <v>706</v>
      </c>
      <c r="BC49" s="13"/>
      <c r="BD49" s="12"/>
      <c r="BE49" s="12" t="s">
        <v>174</v>
      </c>
    </row>
    <row r="50" customFormat="false" ht="23.85" hidden="false" customHeight="false" outlineLevel="0" collapsed="false">
      <c r="A50" s="12" t="s">
        <v>707</v>
      </c>
      <c r="B50" s="13" t="s">
        <v>708</v>
      </c>
      <c r="C50" s="13" t="s">
        <v>709</v>
      </c>
      <c r="D50" s="12" t="s">
        <v>146</v>
      </c>
      <c r="E50" s="12" t="s">
        <v>20</v>
      </c>
      <c r="F50" s="12" t="s">
        <v>40</v>
      </c>
      <c r="G50" s="12" t="s">
        <v>710</v>
      </c>
      <c r="H50" s="12" t="s">
        <v>711</v>
      </c>
      <c r="I50" s="12" t="s">
        <v>617</v>
      </c>
      <c r="J50" s="12" t="s">
        <v>712</v>
      </c>
      <c r="K50" s="12" t="s">
        <v>711</v>
      </c>
      <c r="L50" s="12" t="s">
        <v>20</v>
      </c>
      <c r="M50" s="12" t="s">
        <v>63</v>
      </c>
      <c r="N50" s="12" t="s">
        <v>713</v>
      </c>
      <c r="O50" s="12" t="s">
        <v>152</v>
      </c>
      <c r="P50" s="12" t="n">
        <v>1</v>
      </c>
      <c r="Q50" s="12" t="s">
        <v>153</v>
      </c>
      <c r="R50" s="12" t="s">
        <v>78</v>
      </c>
      <c r="S50" s="12" t="s">
        <v>154</v>
      </c>
      <c r="T50" s="12" t="s">
        <v>179</v>
      </c>
      <c r="U50" s="12" t="s">
        <v>215</v>
      </c>
      <c r="V50" s="12" t="s">
        <v>60</v>
      </c>
      <c r="W50" s="12" t="s">
        <v>60</v>
      </c>
      <c r="X50" s="12" t="s">
        <v>60</v>
      </c>
      <c r="Y50" s="12" t="s">
        <v>714</v>
      </c>
      <c r="Z50" s="12" t="s">
        <v>54</v>
      </c>
      <c r="AA50" s="12" t="s">
        <v>216</v>
      </c>
      <c r="AB50" s="18" t="s">
        <v>30</v>
      </c>
      <c r="AC50" s="12" t="s">
        <v>380</v>
      </c>
      <c r="AD50" s="13" t="s">
        <v>715</v>
      </c>
      <c r="AE50" s="12" t="s">
        <v>716</v>
      </c>
      <c r="AF50" s="12" t="n">
        <v>2018</v>
      </c>
      <c r="AG50" s="12" t="s">
        <v>717</v>
      </c>
      <c r="AH50" s="12"/>
      <c r="AI50" s="12"/>
      <c r="AJ50" s="12"/>
      <c r="AK50" s="12"/>
      <c r="AL50" s="12"/>
      <c r="AM50" s="12" t="s">
        <v>716</v>
      </c>
      <c r="AN50" s="12"/>
      <c r="AO50" s="12" t="s">
        <v>718</v>
      </c>
      <c r="AP50" s="13" t="s">
        <v>719</v>
      </c>
      <c r="AQ50" s="12" t="s">
        <v>183</v>
      </c>
      <c r="AR50" s="12"/>
      <c r="AS50" s="12"/>
      <c r="AT50" s="12"/>
      <c r="AU50" s="12"/>
      <c r="AV50" s="12"/>
      <c r="AW50" s="12" t="n">
        <v>0</v>
      </c>
      <c r="AX50" s="12" t="n">
        <v>3</v>
      </c>
      <c r="AY50" s="12" t="s">
        <v>308</v>
      </c>
      <c r="AZ50" s="12" t="n">
        <v>1</v>
      </c>
      <c r="BA50" s="12" t="n">
        <v>0</v>
      </c>
      <c r="BB50" s="12" t="s">
        <v>720</v>
      </c>
      <c r="BC50" s="13"/>
      <c r="BD50" s="12"/>
      <c r="BE50" s="12" t="s">
        <v>174</v>
      </c>
    </row>
    <row r="51" customFormat="false" ht="23.85" hidden="false" customHeight="false" outlineLevel="0" collapsed="false">
      <c r="A51" s="12" t="s">
        <v>721</v>
      </c>
      <c r="B51" s="13" t="s">
        <v>722</v>
      </c>
      <c r="C51" s="13" t="s">
        <v>723</v>
      </c>
      <c r="D51" s="12" t="s">
        <v>146</v>
      </c>
      <c r="E51" s="12" t="s">
        <v>20</v>
      </c>
      <c r="F51" s="12" t="s">
        <v>47</v>
      </c>
      <c r="G51" s="12" t="s">
        <v>724</v>
      </c>
      <c r="H51" s="12" t="s">
        <v>711</v>
      </c>
      <c r="I51" s="12" t="s">
        <v>617</v>
      </c>
      <c r="J51" s="12" t="s">
        <v>712</v>
      </c>
      <c r="K51" s="12" t="s">
        <v>711</v>
      </c>
      <c r="L51" s="12" t="s">
        <v>20</v>
      </c>
      <c r="M51" s="12" t="s">
        <v>63</v>
      </c>
      <c r="N51" s="12" t="s">
        <v>713</v>
      </c>
      <c r="O51" s="12" t="s">
        <v>276</v>
      </c>
      <c r="P51" s="12" t="n">
        <v>9</v>
      </c>
      <c r="Q51" s="12" t="s">
        <v>277</v>
      </c>
      <c r="R51" s="12" t="s">
        <v>73</v>
      </c>
      <c r="S51" s="12" t="s">
        <v>227</v>
      </c>
      <c r="T51" s="12" t="s">
        <v>191</v>
      </c>
      <c r="U51" s="12" t="s">
        <v>156</v>
      </c>
      <c r="V51" s="12" t="s">
        <v>157</v>
      </c>
      <c r="W51" s="12" t="s">
        <v>158</v>
      </c>
      <c r="X51" s="12" t="s">
        <v>159</v>
      </c>
      <c r="Y51" s="12" t="s">
        <v>180</v>
      </c>
      <c r="Z51" s="12" t="s">
        <v>52</v>
      </c>
      <c r="AA51" s="12" t="s">
        <v>161</v>
      </c>
      <c r="AB51" s="14" t="s">
        <v>26</v>
      </c>
      <c r="AC51" s="12" t="s">
        <v>162</v>
      </c>
      <c r="AD51" s="13" t="s">
        <v>162</v>
      </c>
      <c r="AE51" s="12" t="s">
        <v>248</v>
      </c>
      <c r="AF51" s="12"/>
      <c r="AG51" s="12"/>
      <c r="AH51" s="12"/>
      <c r="AI51" s="12"/>
      <c r="AJ51" s="12" t="s">
        <v>228</v>
      </c>
      <c r="AK51" s="12"/>
      <c r="AL51" s="12"/>
      <c r="AM51" s="12" t="s">
        <v>248</v>
      </c>
      <c r="AN51" s="12"/>
      <c r="AO51" s="12" t="s">
        <v>167</v>
      </c>
      <c r="AP51" s="13" t="s">
        <v>725</v>
      </c>
      <c r="AQ51" s="12" t="s">
        <v>197</v>
      </c>
      <c r="AR51" s="12" t="n">
        <v>7277</v>
      </c>
      <c r="AS51" s="12" t="n">
        <v>103</v>
      </c>
      <c r="AT51" s="12" t="s">
        <v>248</v>
      </c>
      <c r="AU51" s="12"/>
      <c r="AV51" s="12"/>
      <c r="AW51" s="12" t="n">
        <v>0</v>
      </c>
      <c r="AX51" s="12" t="n">
        <v>5</v>
      </c>
      <c r="AY51" s="12" t="s">
        <v>172</v>
      </c>
      <c r="AZ51" s="12" t="n">
        <v>5</v>
      </c>
      <c r="BA51" s="12" t="n">
        <v>4</v>
      </c>
      <c r="BB51" s="12" t="s">
        <v>173</v>
      </c>
      <c r="BC51" s="13"/>
      <c r="BD51" s="12"/>
      <c r="BE51" s="12" t="s">
        <v>174</v>
      </c>
    </row>
    <row r="52" customFormat="false" ht="23.85" hidden="false" customHeight="false" outlineLevel="0" collapsed="false">
      <c r="A52" s="12" t="s">
        <v>726</v>
      </c>
      <c r="B52" s="13" t="s">
        <v>727</v>
      </c>
      <c r="C52" s="13" t="s">
        <v>728</v>
      </c>
      <c r="D52" s="12" t="s">
        <v>146</v>
      </c>
      <c r="E52" s="12" t="s">
        <v>20</v>
      </c>
      <c r="F52" s="12" t="s">
        <v>38</v>
      </c>
      <c r="G52" s="12" t="s">
        <v>729</v>
      </c>
      <c r="H52" s="12" t="s">
        <v>730</v>
      </c>
      <c r="I52" s="12" t="s">
        <v>617</v>
      </c>
      <c r="J52" s="12" t="s">
        <v>731</v>
      </c>
      <c r="K52" s="12" t="s">
        <v>730</v>
      </c>
      <c r="L52" s="12" t="s">
        <v>20</v>
      </c>
      <c r="M52" s="12" t="s">
        <v>65</v>
      </c>
      <c r="N52" s="12" t="s">
        <v>732</v>
      </c>
      <c r="O52" s="12" t="s">
        <v>234</v>
      </c>
      <c r="P52" s="12" t="n">
        <v>1</v>
      </c>
      <c r="Q52" s="12" t="s">
        <v>153</v>
      </c>
      <c r="R52" s="12" t="s">
        <v>77</v>
      </c>
      <c r="S52" s="12" t="s">
        <v>235</v>
      </c>
      <c r="T52" s="12" t="s">
        <v>191</v>
      </c>
      <c r="U52" s="12" t="s">
        <v>346</v>
      </c>
      <c r="V52" s="12" t="s">
        <v>60</v>
      </c>
      <c r="W52" s="12" t="s">
        <v>60</v>
      </c>
      <c r="X52" s="12" t="s">
        <v>60</v>
      </c>
      <c r="Y52" s="12" t="s">
        <v>733</v>
      </c>
      <c r="Z52" s="12" t="s">
        <v>53</v>
      </c>
      <c r="AA52" s="12" t="s">
        <v>216</v>
      </c>
      <c r="AB52" s="16" t="s">
        <v>28</v>
      </c>
      <c r="AC52" s="12" t="s">
        <v>262</v>
      </c>
      <c r="AD52" s="13" t="s">
        <v>734</v>
      </c>
      <c r="AE52" s="12" t="s">
        <v>735</v>
      </c>
      <c r="AF52" s="12" t="n">
        <v>2025</v>
      </c>
      <c r="AG52" s="12" t="s">
        <v>670</v>
      </c>
      <c r="AH52" s="12"/>
      <c r="AI52" s="12"/>
      <c r="AJ52" s="12"/>
      <c r="AK52" s="12"/>
      <c r="AL52" s="12"/>
      <c r="AM52" s="12" t="s">
        <v>735</v>
      </c>
      <c r="AN52" s="12"/>
      <c r="AO52" s="12" t="s">
        <v>704</v>
      </c>
      <c r="AP52" s="13"/>
      <c r="AQ52" s="12" t="s">
        <v>183</v>
      </c>
      <c r="AR52" s="12"/>
      <c r="AS52" s="12"/>
      <c r="AT52" s="12"/>
      <c r="AU52" s="12"/>
      <c r="AV52" s="12"/>
      <c r="AW52" s="12" t="n">
        <v>0</v>
      </c>
      <c r="AX52" s="12" t="n">
        <v>3</v>
      </c>
      <c r="AY52" s="12" t="s">
        <v>308</v>
      </c>
      <c r="AZ52" s="12" t="n">
        <v>3</v>
      </c>
      <c r="BA52" s="12" t="n">
        <v>0</v>
      </c>
      <c r="BB52" s="12" t="s">
        <v>736</v>
      </c>
      <c r="BC52" s="13" t="s">
        <v>737</v>
      </c>
      <c r="BD52" s="12"/>
      <c r="BE52" s="12" t="s">
        <v>174</v>
      </c>
    </row>
    <row r="53" customFormat="false" ht="15" hidden="false" customHeight="false" outlineLevel="0" collapsed="false">
      <c r="A53" s="12" t="s">
        <v>738</v>
      </c>
      <c r="B53" s="13" t="s">
        <v>739</v>
      </c>
      <c r="C53" s="13" t="s">
        <v>740</v>
      </c>
      <c r="D53" s="12" t="s">
        <v>146</v>
      </c>
      <c r="E53" s="12" t="s">
        <v>20</v>
      </c>
      <c r="F53" s="12" t="s">
        <v>38</v>
      </c>
      <c r="G53" s="12" t="s">
        <v>741</v>
      </c>
      <c r="H53" s="12" t="s">
        <v>730</v>
      </c>
      <c r="I53" s="12" t="s">
        <v>617</v>
      </c>
      <c r="J53" s="12" t="s">
        <v>731</v>
      </c>
      <c r="K53" s="12" t="s">
        <v>730</v>
      </c>
      <c r="L53" s="12" t="s">
        <v>20</v>
      </c>
      <c r="M53" s="12" t="s">
        <v>65</v>
      </c>
      <c r="N53" s="12" t="s">
        <v>732</v>
      </c>
      <c r="O53" s="12" t="s">
        <v>244</v>
      </c>
      <c r="P53" s="12" t="n">
        <v>3</v>
      </c>
      <c r="Q53" s="12" t="s">
        <v>245</v>
      </c>
      <c r="R53" s="12" t="s">
        <v>80</v>
      </c>
      <c r="S53" s="12" t="s">
        <v>246</v>
      </c>
      <c r="T53" s="12" t="s">
        <v>191</v>
      </c>
      <c r="U53" s="12" t="s">
        <v>742</v>
      </c>
      <c r="V53" s="12" t="s">
        <v>742</v>
      </c>
      <c r="W53" s="12" t="s">
        <v>554</v>
      </c>
      <c r="X53" s="12" t="s">
        <v>555</v>
      </c>
      <c r="Y53" s="12" t="s">
        <v>742</v>
      </c>
      <c r="Z53" s="12" t="s">
        <v>54</v>
      </c>
      <c r="AA53" s="12" t="s">
        <v>216</v>
      </c>
      <c r="AB53" s="18" t="s">
        <v>30</v>
      </c>
      <c r="AC53" s="12" t="s">
        <v>380</v>
      </c>
      <c r="AD53" s="13" t="s">
        <v>743</v>
      </c>
      <c r="AE53" s="12" t="s">
        <v>744</v>
      </c>
      <c r="AF53" s="12" t="n">
        <v>2022</v>
      </c>
      <c r="AG53" s="12" t="s">
        <v>745</v>
      </c>
      <c r="AH53" s="12"/>
      <c r="AI53" s="12"/>
      <c r="AJ53" s="12"/>
      <c r="AK53" s="12"/>
      <c r="AL53" s="12"/>
      <c r="AM53" s="12" t="s">
        <v>744</v>
      </c>
      <c r="AN53" s="12"/>
      <c r="AO53" s="12" t="s">
        <v>746</v>
      </c>
      <c r="AP53" s="13"/>
      <c r="AQ53" s="12" t="s">
        <v>183</v>
      </c>
      <c r="AR53" s="12"/>
      <c r="AS53" s="12"/>
      <c r="AT53" s="12"/>
      <c r="AU53" s="12"/>
      <c r="AV53" s="12"/>
      <c r="AW53" s="12" t="n">
        <v>0</v>
      </c>
      <c r="AX53" s="12" t="n">
        <v>3</v>
      </c>
      <c r="AY53" s="12" t="s">
        <v>308</v>
      </c>
      <c r="AZ53" s="12" t="n">
        <v>3</v>
      </c>
      <c r="BA53" s="12" t="n">
        <v>0</v>
      </c>
      <c r="BB53" s="12" t="s">
        <v>747</v>
      </c>
      <c r="BC53" s="13"/>
      <c r="BD53" s="12"/>
      <c r="BE53" s="12" t="s">
        <v>174</v>
      </c>
    </row>
    <row r="54" customFormat="false" ht="23.85" hidden="false" customHeight="false" outlineLevel="0" collapsed="false">
      <c r="A54" s="12" t="s">
        <v>748</v>
      </c>
      <c r="B54" s="13" t="s">
        <v>749</v>
      </c>
      <c r="C54" s="13" t="s">
        <v>750</v>
      </c>
      <c r="D54" s="12" t="s">
        <v>146</v>
      </c>
      <c r="E54" s="12" t="s">
        <v>20</v>
      </c>
      <c r="F54" s="12" t="s">
        <v>38</v>
      </c>
      <c r="G54" s="12" t="s">
        <v>751</v>
      </c>
      <c r="H54" s="12" t="s">
        <v>752</v>
      </c>
      <c r="I54" s="12" t="s">
        <v>617</v>
      </c>
      <c r="J54" s="12" t="s">
        <v>753</v>
      </c>
      <c r="K54" s="12" t="s">
        <v>752</v>
      </c>
      <c r="L54" s="12" t="s">
        <v>20</v>
      </c>
      <c r="M54" s="12" t="s">
        <v>65</v>
      </c>
      <c r="N54" s="12" t="s">
        <v>754</v>
      </c>
      <c r="O54" s="12" t="s">
        <v>234</v>
      </c>
      <c r="P54" s="12" t="n">
        <v>1</v>
      </c>
      <c r="Q54" s="12" t="s">
        <v>153</v>
      </c>
      <c r="R54" s="12" t="s">
        <v>77</v>
      </c>
      <c r="S54" s="12" t="s">
        <v>235</v>
      </c>
      <c r="T54" s="12" t="s">
        <v>191</v>
      </c>
      <c r="U54" s="12" t="s">
        <v>346</v>
      </c>
      <c r="V54" s="12" t="s">
        <v>60</v>
      </c>
      <c r="W54" s="12" t="s">
        <v>60</v>
      </c>
      <c r="X54" s="12" t="s">
        <v>60</v>
      </c>
      <c r="Y54" s="12" t="s">
        <v>215</v>
      </c>
      <c r="Z54" s="12" t="s">
        <v>60</v>
      </c>
      <c r="AA54" s="12" t="s">
        <v>216</v>
      </c>
      <c r="AB54" s="16" t="s">
        <v>28</v>
      </c>
      <c r="AC54" s="12" t="s">
        <v>262</v>
      </c>
      <c r="AD54" s="13" t="s">
        <v>755</v>
      </c>
      <c r="AE54" s="12" t="s">
        <v>756</v>
      </c>
      <c r="AF54" s="12" t="n">
        <v>2026</v>
      </c>
      <c r="AG54" s="12" t="s">
        <v>757</v>
      </c>
      <c r="AH54" s="12"/>
      <c r="AI54" s="12"/>
      <c r="AJ54" s="12"/>
      <c r="AK54" s="12"/>
      <c r="AL54" s="12"/>
      <c r="AM54" s="12" t="s">
        <v>756</v>
      </c>
      <c r="AN54" s="12"/>
      <c r="AO54" s="12" t="s">
        <v>758</v>
      </c>
      <c r="AP54" s="13"/>
      <c r="AQ54" s="12" t="s">
        <v>183</v>
      </c>
      <c r="AR54" s="12"/>
      <c r="AS54" s="12"/>
      <c r="AT54" s="12"/>
      <c r="AU54" s="12" t="s">
        <v>759</v>
      </c>
      <c r="AV54" s="12" t="s">
        <v>363</v>
      </c>
      <c r="AW54" s="12" t="n">
        <v>1</v>
      </c>
      <c r="AX54" s="12" t="n">
        <v>3</v>
      </c>
      <c r="AY54" s="12" t="s">
        <v>308</v>
      </c>
      <c r="AZ54" s="12" t="n">
        <v>2</v>
      </c>
      <c r="BA54" s="12" t="n">
        <v>0</v>
      </c>
      <c r="BB54" s="12" t="s">
        <v>760</v>
      </c>
      <c r="BC54" s="13"/>
      <c r="BD54" s="12"/>
      <c r="BE54" s="12" t="s">
        <v>174</v>
      </c>
    </row>
    <row r="55" customFormat="false" ht="35.05" hidden="false" customHeight="false" outlineLevel="0" collapsed="false">
      <c r="A55" s="12" t="s">
        <v>761</v>
      </c>
      <c r="B55" s="13" t="s">
        <v>762</v>
      </c>
      <c r="C55" s="13" t="s">
        <v>763</v>
      </c>
      <c r="D55" s="12" t="s">
        <v>146</v>
      </c>
      <c r="E55" s="12" t="s">
        <v>20</v>
      </c>
      <c r="F55" s="12" t="s">
        <v>39</v>
      </c>
      <c r="G55" s="12" t="s">
        <v>764</v>
      </c>
      <c r="H55" s="12" t="s">
        <v>752</v>
      </c>
      <c r="I55" s="12" t="s">
        <v>617</v>
      </c>
      <c r="J55" s="12" t="s">
        <v>753</v>
      </c>
      <c r="K55" s="12" t="s">
        <v>752</v>
      </c>
      <c r="L55" s="12" t="s">
        <v>20</v>
      </c>
      <c r="M55" s="12" t="s">
        <v>65</v>
      </c>
      <c r="N55" s="12" t="s">
        <v>754</v>
      </c>
      <c r="O55" s="12" t="s">
        <v>226</v>
      </c>
      <c r="P55" s="12" t="n">
        <v>1</v>
      </c>
      <c r="Q55" s="12" t="s">
        <v>153</v>
      </c>
      <c r="R55" s="12" t="s">
        <v>73</v>
      </c>
      <c r="S55" s="12" t="s">
        <v>227</v>
      </c>
      <c r="T55" s="12" t="s">
        <v>191</v>
      </c>
      <c r="U55" s="12" t="s">
        <v>346</v>
      </c>
      <c r="V55" s="12" t="s">
        <v>60</v>
      </c>
      <c r="W55" s="12" t="s">
        <v>60</v>
      </c>
      <c r="X55" s="12" t="s">
        <v>60</v>
      </c>
      <c r="Y55" s="12" t="s">
        <v>215</v>
      </c>
      <c r="Z55" s="12" t="s">
        <v>60</v>
      </c>
      <c r="AA55" s="12" t="s">
        <v>216</v>
      </c>
      <c r="AB55" s="16" t="s">
        <v>28</v>
      </c>
      <c r="AC55" s="12" t="s">
        <v>262</v>
      </c>
      <c r="AD55" s="13" t="s">
        <v>765</v>
      </c>
      <c r="AE55" s="12" t="s">
        <v>766</v>
      </c>
      <c r="AF55" s="12" t="n">
        <v>2023</v>
      </c>
      <c r="AG55" s="12" t="s">
        <v>767</v>
      </c>
      <c r="AH55" s="12"/>
      <c r="AI55" s="12"/>
      <c r="AJ55" s="12"/>
      <c r="AK55" s="12"/>
      <c r="AL55" s="12"/>
      <c r="AM55" s="12" t="s">
        <v>766</v>
      </c>
      <c r="AN55" s="12"/>
      <c r="AO55" s="12" t="s">
        <v>195</v>
      </c>
      <c r="AP55" s="13"/>
      <c r="AQ55" s="12" t="s">
        <v>183</v>
      </c>
      <c r="AR55" s="12"/>
      <c r="AS55" s="12"/>
      <c r="AT55" s="12"/>
      <c r="AU55" s="12"/>
      <c r="AV55" s="12"/>
      <c r="AW55" s="12" t="n">
        <v>0</v>
      </c>
      <c r="AX55" s="12" t="n">
        <v>3</v>
      </c>
      <c r="AY55" s="12" t="s">
        <v>308</v>
      </c>
      <c r="AZ55" s="12" t="n">
        <v>5</v>
      </c>
      <c r="BA55" s="12" t="n">
        <v>0</v>
      </c>
      <c r="BB55" s="12" t="s">
        <v>768</v>
      </c>
      <c r="BC55" s="13" t="s">
        <v>769</v>
      </c>
      <c r="BD55" s="12"/>
      <c r="BE55" s="12" t="s">
        <v>174</v>
      </c>
    </row>
    <row r="56" customFormat="false" ht="35.05" hidden="false" customHeight="false" outlineLevel="0" collapsed="false">
      <c r="A56" s="12" t="s">
        <v>770</v>
      </c>
      <c r="B56" s="13" t="s">
        <v>771</v>
      </c>
      <c r="C56" s="13" t="s">
        <v>772</v>
      </c>
      <c r="D56" s="12" t="s">
        <v>146</v>
      </c>
      <c r="E56" s="12" t="s">
        <v>20</v>
      </c>
      <c r="F56" s="12" t="s">
        <v>46</v>
      </c>
      <c r="G56" s="12" t="s">
        <v>773</v>
      </c>
      <c r="H56" s="12" t="s">
        <v>774</v>
      </c>
      <c r="I56" s="12" t="s">
        <v>617</v>
      </c>
      <c r="J56" s="12" t="s">
        <v>775</v>
      </c>
      <c r="K56" s="12" t="s">
        <v>774</v>
      </c>
      <c r="L56" s="12" t="s">
        <v>20</v>
      </c>
      <c r="M56" s="12" t="s">
        <v>62</v>
      </c>
      <c r="N56" s="12" t="s">
        <v>776</v>
      </c>
      <c r="O56" s="12" t="s">
        <v>276</v>
      </c>
      <c r="P56" s="12" t="n">
        <v>9</v>
      </c>
      <c r="Q56" s="12" t="s">
        <v>277</v>
      </c>
      <c r="R56" s="12" t="s">
        <v>73</v>
      </c>
      <c r="S56" s="12" t="s">
        <v>227</v>
      </c>
      <c r="T56" s="12" t="s">
        <v>191</v>
      </c>
      <c r="U56" s="12" t="s">
        <v>777</v>
      </c>
      <c r="V56" s="12" t="s">
        <v>60</v>
      </c>
      <c r="W56" s="12" t="s">
        <v>60</v>
      </c>
      <c r="X56" s="12" t="s">
        <v>555</v>
      </c>
      <c r="Y56" s="12" t="s">
        <v>778</v>
      </c>
      <c r="Z56" s="12" t="s">
        <v>53</v>
      </c>
      <c r="AA56" s="12" t="s">
        <v>216</v>
      </c>
      <c r="AB56" s="18" t="s">
        <v>30</v>
      </c>
      <c r="AC56" s="12" t="s">
        <v>380</v>
      </c>
      <c r="AD56" s="13" t="s">
        <v>779</v>
      </c>
      <c r="AE56" s="12" t="s">
        <v>780</v>
      </c>
      <c r="AF56" s="12" t="n">
        <v>2023</v>
      </c>
      <c r="AG56" s="12" t="s">
        <v>780</v>
      </c>
      <c r="AH56" s="12"/>
      <c r="AI56" s="12"/>
      <c r="AJ56" s="12"/>
      <c r="AK56" s="12"/>
      <c r="AL56" s="12"/>
      <c r="AM56" s="12" t="s">
        <v>780</v>
      </c>
      <c r="AN56" s="12"/>
      <c r="AO56" s="12" t="s">
        <v>351</v>
      </c>
      <c r="AP56" s="13" t="s">
        <v>781</v>
      </c>
      <c r="AQ56" s="12" t="s">
        <v>230</v>
      </c>
      <c r="AR56" s="12"/>
      <c r="AS56" s="12"/>
      <c r="AT56" s="12"/>
      <c r="AU56" s="12"/>
      <c r="AV56" s="12"/>
      <c r="AW56" s="12" t="n">
        <v>0</v>
      </c>
      <c r="AX56" s="12" t="n">
        <v>4</v>
      </c>
      <c r="AY56" s="12" t="s">
        <v>338</v>
      </c>
      <c r="AZ56" s="12" t="n">
        <v>2</v>
      </c>
      <c r="BA56" s="12" t="n">
        <v>1</v>
      </c>
      <c r="BB56" s="12" t="s">
        <v>782</v>
      </c>
      <c r="BC56" s="13"/>
      <c r="BD56" s="12" t="s">
        <v>783</v>
      </c>
      <c r="BE56" s="12" t="s">
        <v>174</v>
      </c>
    </row>
    <row r="57" customFormat="false" ht="23.85" hidden="false" customHeight="false" outlineLevel="0" collapsed="false">
      <c r="A57" s="12" t="s">
        <v>784</v>
      </c>
      <c r="B57" s="13" t="s">
        <v>785</v>
      </c>
      <c r="C57" s="13" t="s">
        <v>786</v>
      </c>
      <c r="D57" s="12" t="s">
        <v>146</v>
      </c>
      <c r="E57" s="12" t="s">
        <v>20</v>
      </c>
      <c r="F57" s="12" t="s">
        <v>40</v>
      </c>
      <c r="G57" s="12" t="s">
        <v>787</v>
      </c>
      <c r="H57" s="12" t="s">
        <v>774</v>
      </c>
      <c r="I57" s="12" t="s">
        <v>617</v>
      </c>
      <c r="J57" s="12" t="s">
        <v>775</v>
      </c>
      <c r="K57" s="12" t="s">
        <v>774</v>
      </c>
      <c r="L57" s="12" t="s">
        <v>20</v>
      </c>
      <c r="M57" s="12" t="s">
        <v>62</v>
      </c>
      <c r="N57" s="12" t="s">
        <v>776</v>
      </c>
      <c r="O57" s="12" t="s">
        <v>152</v>
      </c>
      <c r="P57" s="12" t="n">
        <v>1</v>
      </c>
      <c r="Q57" s="12" t="s">
        <v>153</v>
      </c>
      <c r="R57" s="12" t="s">
        <v>78</v>
      </c>
      <c r="S57" s="12" t="s">
        <v>154</v>
      </c>
      <c r="T57" s="12" t="s">
        <v>179</v>
      </c>
      <c r="U57" s="12" t="s">
        <v>215</v>
      </c>
      <c r="V57" s="12" t="s">
        <v>60</v>
      </c>
      <c r="W57" s="12" t="s">
        <v>60</v>
      </c>
      <c r="X57" s="12" t="s">
        <v>60</v>
      </c>
      <c r="Y57" s="12" t="s">
        <v>788</v>
      </c>
      <c r="Z57" s="12" t="s">
        <v>57</v>
      </c>
      <c r="AA57" s="12" t="s">
        <v>216</v>
      </c>
      <c r="AB57" s="14" t="s">
        <v>26</v>
      </c>
      <c r="AC57" s="12" t="s">
        <v>162</v>
      </c>
      <c r="AD57" s="13" t="s">
        <v>789</v>
      </c>
      <c r="AE57" s="12" t="s">
        <v>790</v>
      </c>
      <c r="AF57" s="12" t="n">
        <v>2020</v>
      </c>
      <c r="AG57" s="12" t="s">
        <v>791</v>
      </c>
      <c r="AH57" s="12"/>
      <c r="AI57" s="12"/>
      <c r="AJ57" s="12" t="s">
        <v>165</v>
      </c>
      <c r="AK57" s="12" t="s">
        <v>792</v>
      </c>
      <c r="AL57" s="12"/>
      <c r="AM57" s="12" t="s">
        <v>790</v>
      </c>
      <c r="AN57" s="12" t="n">
        <v>8</v>
      </c>
      <c r="AO57" s="12" t="s">
        <v>793</v>
      </c>
      <c r="AP57" s="13" t="s">
        <v>794</v>
      </c>
      <c r="AQ57" s="12" t="s">
        <v>197</v>
      </c>
      <c r="AR57" s="12"/>
      <c r="AS57" s="12"/>
      <c r="AT57" s="12"/>
      <c r="AU57" s="12"/>
      <c r="AV57" s="12"/>
      <c r="AW57" s="12" t="n">
        <v>0</v>
      </c>
      <c r="AX57" s="12" t="n">
        <v>4</v>
      </c>
      <c r="AY57" s="12" t="s">
        <v>338</v>
      </c>
      <c r="AZ57" s="12" t="n">
        <v>8</v>
      </c>
      <c r="BA57" s="12" t="n">
        <v>5</v>
      </c>
      <c r="BB57" s="12" t="s">
        <v>795</v>
      </c>
      <c r="BC57" s="13"/>
      <c r="BD57" s="12"/>
      <c r="BE57" s="12" t="s">
        <v>174</v>
      </c>
    </row>
    <row r="58" customFormat="false" ht="23.85" hidden="false" customHeight="false" outlineLevel="0" collapsed="false">
      <c r="A58" s="12" t="s">
        <v>796</v>
      </c>
      <c r="B58" s="13" t="s">
        <v>797</v>
      </c>
      <c r="C58" s="13" t="s">
        <v>798</v>
      </c>
      <c r="D58" s="12" t="s">
        <v>146</v>
      </c>
      <c r="E58" s="12" t="s">
        <v>20</v>
      </c>
      <c r="F58" s="12" t="s">
        <v>41</v>
      </c>
      <c r="G58" s="12" t="s">
        <v>799</v>
      </c>
      <c r="H58" s="12" t="s">
        <v>800</v>
      </c>
      <c r="I58" s="12" t="s">
        <v>617</v>
      </c>
      <c r="J58" s="12" t="s">
        <v>801</v>
      </c>
      <c r="K58" s="12" t="s">
        <v>800</v>
      </c>
      <c r="L58" s="12" t="s">
        <v>20</v>
      </c>
      <c r="M58" s="12" t="s">
        <v>62</v>
      </c>
      <c r="N58" s="12" t="s">
        <v>802</v>
      </c>
      <c r="O58" s="12" t="s">
        <v>316</v>
      </c>
      <c r="P58" s="12" t="n">
        <v>4</v>
      </c>
      <c r="Q58" s="12" t="s">
        <v>189</v>
      </c>
      <c r="R58" s="12" t="s">
        <v>81</v>
      </c>
      <c r="S58" s="12" t="s">
        <v>317</v>
      </c>
      <c r="T58" s="12" t="s">
        <v>179</v>
      </c>
      <c r="U58" s="12" t="s">
        <v>346</v>
      </c>
      <c r="V58" s="12" t="s">
        <v>60</v>
      </c>
      <c r="W58" s="12" t="s">
        <v>60</v>
      </c>
      <c r="X58" s="12" t="s">
        <v>60</v>
      </c>
      <c r="Y58" s="12" t="s">
        <v>215</v>
      </c>
      <c r="Z58" s="12" t="s">
        <v>60</v>
      </c>
      <c r="AA58" s="12" t="s">
        <v>216</v>
      </c>
      <c r="AB58" s="18" t="s">
        <v>30</v>
      </c>
      <c r="AC58" s="12" t="s">
        <v>380</v>
      </c>
      <c r="AD58" s="13" t="s">
        <v>803</v>
      </c>
      <c r="AE58" s="12" t="n">
        <v>2024</v>
      </c>
      <c r="AF58" s="12"/>
      <c r="AG58" s="12"/>
      <c r="AH58" s="12"/>
      <c r="AI58" s="12"/>
      <c r="AJ58" s="12"/>
      <c r="AK58" s="12"/>
      <c r="AL58" s="12"/>
      <c r="AM58" s="12" t="n">
        <v>2024</v>
      </c>
      <c r="AN58" s="12"/>
      <c r="AO58" s="12" t="s">
        <v>804</v>
      </c>
      <c r="AP58" s="13"/>
      <c r="AQ58" s="12" t="s">
        <v>183</v>
      </c>
      <c r="AR58" s="12"/>
      <c r="AS58" s="12"/>
      <c r="AT58" s="12"/>
      <c r="AU58" s="12"/>
      <c r="AV58" s="12"/>
      <c r="AW58" s="12" t="n">
        <v>0</v>
      </c>
      <c r="AX58" s="12" t="n">
        <v>1</v>
      </c>
      <c r="AY58" s="12" t="s">
        <v>805</v>
      </c>
      <c r="AZ58" s="12" t="n">
        <v>1</v>
      </c>
      <c r="BA58" s="12" t="n">
        <v>0</v>
      </c>
      <c r="BB58" s="12" t="s">
        <v>806</v>
      </c>
      <c r="BC58" s="13" t="s">
        <v>807</v>
      </c>
      <c r="BD58" s="12"/>
      <c r="BE58" s="12" t="s">
        <v>174</v>
      </c>
    </row>
    <row r="59" customFormat="false" ht="23.85" hidden="false" customHeight="false" outlineLevel="0" collapsed="false">
      <c r="A59" s="12" t="s">
        <v>808</v>
      </c>
      <c r="B59" s="13" t="s">
        <v>809</v>
      </c>
      <c r="C59" s="13" t="s">
        <v>810</v>
      </c>
      <c r="D59" s="12" t="s">
        <v>146</v>
      </c>
      <c r="E59" s="12" t="s">
        <v>20</v>
      </c>
      <c r="F59" s="12" t="s">
        <v>38</v>
      </c>
      <c r="G59" s="12" t="s">
        <v>811</v>
      </c>
      <c r="H59" s="12" t="s">
        <v>812</v>
      </c>
      <c r="I59" s="12" t="s">
        <v>617</v>
      </c>
      <c r="J59" s="12" t="s">
        <v>813</v>
      </c>
      <c r="K59" s="12" t="s">
        <v>812</v>
      </c>
      <c r="L59" s="12" t="s">
        <v>20</v>
      </c>
      <c r="M59" s="12" t="s">
        <v>64</v>
      </c>
      <c r="N59" s="12" t="s">
        <v>814</v>
      </c>
      <c r="O59" s="12" t="s">
        <v>316</v>
      </c>
      <c r="P59" s="12" t="n">
        <v>4</v>
      </c>
      <c r="Q59" s="12" t="s">
        <v>189</v>
      </c>
      <c r="R59" s="12" t="s">
        <v>81</v>
      </c>
      <c r="S59" s="12" t="s">
        <v>317</v>
      </c>
      <c r="T59" s="12" t="s">
        <v>191</v>
      </c>
      <c r="U59" s="12" t="s">
        <v>346</v>
      </c>
      <c r="V59" s="12" t="s">
        <v>60</v>
      </c>
      <c r="W59" s="12" t="s">
        <v>60</v>
      </c>
      <c r="X59" s="12" t="s">
        <v>60</v>
      </c>
      <c r="Y59" s="12" t="s">
        <v>815</v>
      </c>
      <c r="Z59" s="12" t="s">
        <v>54</v>
      </c>
      <c r="AA59" s="12" t="s">
        <v>216</v>
      </c>
      <c r="AB59" s="14" t="s">
        <v>26</v>
      </c>
      <c r="AC59" s="12" t="s">
        <v>162</v>
      </c>
      <c r="AD59" s="13" t="s">
        <v>816</v>
      </c>
      <c r="AE59" s="12" t="s">
        <v>817</v>
      </c>
      <c r="AF59" s="12" t="n">
        <v>2022</v>
      </c>
      <c r="AG59" s="12"/>
      <c r="AH59" s="12"/>
      <c r="AI59" s="12"/>
      <c r="AJ59" s="12" t="n">
        <v>2022</v>
      </c>
      <c r="AK59" s="12"/>
      <c r="AL59" s="12"/>
      <c r="AM59" s="12" t="s">
        <v>817</v>
      </c>
      <c r="AN59" s="12"/>
      <c r="AO59" s="12" t="s">
        <v>818</v>
      </c>
      <c r="AP59" s="13" t="s">
        <v>819</v>
      </c>
      <c r="AQ59" s="12" t="s">
        <v>230</v>
      </c>
      <c r="AR59" s="12"/>
      <c r="AS59" s="12"/>
      <c r="AT59" s="12"/>
      <c r="AU59" s="12"/>
      <c r="AV59" s="12"/>
      <c r="AW59" s="12" t="n">
        <v>0</v>
      </c>
      <c r="AX59" s="12" t="n">
        <v>3</v>
      </c>
      <c r="AY59" s="12" t="s">
        <v>308</v>
      </c>
      <c r="AZ59" s="12" t="n">
        <v>7</v>
      </c>
      <c r="BA59" s="12" t="n">
        <v>0</v>
      </c>
      <c r="BB59" s="12" t="s">
        <v>820</v>
      </c>
      <c r="BC59" s="13"/>
      <c r="BD59" s="12"/>
      <c r="BE59" s="12" t="s">
        <v>174</v>
      </c>
    </row>
    <row r="60" customFormat="false" ht="23.85" hidden="false" customHeight="false" outlineLevel="0" collapsed="false">
      <c r="A60" s="12" t="s">
        <v>821</v>
      </c>
      <c r="B60" s="13" t="s">
        <v>822</v>
      </c>
      <c r="C60" s="13" t="s">
        <v>823</v>
      </c>
      <c r="D60" s="12" t="s">
        <v>146</v>
      </c>
      <c r="E60" s="12" t="s">
        <v>20</v>
      </c>
      <c r="F60" s="12" t="s">
        <v>38</v>
      </c>
      <c r="G60" s="12" t="s">
        <v>824</v>
      </c>
      <c r="H60" s="12" t="s">
        <v>812</v>
      </c>
      <c r="I60" s="12" t="s">
        <v>617</v>
      </c>
      <c r="J60" s="12" t="s">
        <v>813</v>
      </c>
      <c r="K60" s="12" t="s">
        <v>812</v>
      </c>
      <c r="L60" s="12" t="s">
        <v>20</v>
      </c>
      <c r="M60" s="12" t="s">
        <v>64</v>
      </c>
      <c r="N60" s="12" t="s">
        <v>814</v>
      </c>
      <c r="O60" s="12" t="s">
        <v>234</v>
      </c>
      <c r="P60" s="12" t="n">
        <v>1</v>
      </c>
      <c r="Q60" s="12" t="s">
        <v>153</v>
      </c>
      <c r="R60" s="12" t="s">
        <v>77</v>
      </c>
      <c r="S60" s="12" t="s">
        <v>235</v>
      </c>
      <c r="T60" s="12" t="s">
        <v>191</v>
      </c>
      <c r="U60" s="12" t="s">
        <v>156</v>
      </c>
      <c r="V60" s="12" t="s">
        <v>157</v>
      </c>
      <c r="W60" s="12" t="s">
        <v>158</v>
      </c>
      <c r="X60" s="12" t="s">
        <v>159</v>
      </c>
      <c r="Y60" s="12" t="s">
        <v>180</v>
      </c>
      <c r="Z60" s="12" t="s">
        <v>52</v>
      </c>
      <c r="AA60" s="12" t="s">
        <v>161</v>
      </c>
      <c r="AB60" s="14" t="s">
        <v>26</v>
      </c>
      <c r="AC60" s="12" t="s">
        <v>162</v>
      </c>
      <c r="AD60" s="13" t="s">
        <v>825</v>
      </c>
      <c r="AE60" s="12" t="s">
        <v>248</v>
      </c>
      <c r="AF60" s="12" t="n">
        <v>2024</v>
      </c>
      <c r="AG60" s="12" t="n">
        <v>2024</v>
      </c>
      <c r="AH60" s="12"/>
      <c r="AI60" s="12"/>
      <c r="AJ60" s="12" t="s">
        <v>653</v>
      </c>
      <c r="AK60" s="12"/>
      <c r="AL60" s="12"/>
      <c r="AM60" s="12" t="s">
        <v>248</v>
      </c>
      <c r="AN60" s="12"/>
      <c r="AO60" s="12" t="s">
        <v>167</v>
      </c>
      <c r="AP60" s="13" t="s">
        <v>826</v>
      </c>
      <c r="AQ60" s="12" t="s">
        <v>197</v>
      </c>
      <c r="AR60" s="12" t="n">
        <v>4474</v>
      </c>
      <c r="AS60" s="12" t="n">
        <v>31</v>
      </c>
      <c r="AT60" s="12" t="s">
        <v>248</v>
      </c>
      <c r="AU60" s="12"/>
      <c r="AV60" s="12"/>
      <c r="AW60" s="12" t="n">
        <v>0</v>
      </c>
      <c r="AX60" s="12" t="n">
        <v>5</v>
      </c>
      <c r="AY60" s="12" t="s">
        <v>172</v>
      </c>
      <c r="AZ60" s="12" t="n">
        <v>4</v>
      </c>
      <c r="BA60" s="12" t="n">
        <v>3</v>
      </c>
      <c r="BB60" s="12" t="s">
        <v>173</v>
      </c>
      <c r="BC60" s="13"/>
      <c r="BD60" s="12"/>
      <c r="BE60" s="12" t="s">
        <v>174</v>
      </c>
    </row>
    <row r="61" customFormat="false" ht="35.05" hidden="false" customHeight="false" outlineLevel="0" collapsed="false">
      <c r="A61" s="12" t="s">
        <v>827</v>
      </c>
      <c r="B61" s="13" t="s">
        <v>828</v>
      </c>
      <c r="C61" s="13" t="s">
        <v>829</v>
      </c>
      <c r="D61" s="12" t="s">
        <v>146</v>
      </c>
      <c r="E61" s="12" t="s">
        <v>20</v>
      </c>
      <c r="F61" s="12" t="s">
        <v>42</v>
      </c>
      <c r="G61" s="12" t="s">
        <v>830</v>
      </c>
      <c r="H61" s="12" t="s">
        <v>831</v>
      </c>
      <c r="I61" s="12" t="s">
        <v>617</v>
      </c>
      <c r="J61" s="12" t="s">
        <v>832</v>
      </c>
      <c r="K61" s="12" t="s">
        <v>831</v>
      </c>
      <c r="L61" s="12" t="s">
        <v>20</v>
      </c>
      <c r="M61" s="12" t="s">
        <v>66</v>
      </c>
      <c r="N61" s="12" t="s">
        <v>833</v>
      </c>
      <c r="O61" s="12" t="s">
        <v>368</v>
      </c>
      <c r="P61" s="12" t="n">
        <v>7</v>
      </c>
      <c r="Q61" s="12" t="s">
        <v>369</v>
      </c>
      <c r="R61" s="12" t="s">
        <v>81</v>
      </c>
      <c r="S61" s="12" t="s">
        <v>317</v>
      </c>
      <c r="T61" s="12" t="s">
        <v>155</v>
      </c>
      <c r="U61" s="12" t="s">
        <v>834</v>
      </c>
      <c r="V61" s="12" t="s">
        <v>157</v>
      </c>
      <c r="W61" s="12" t="s">
        <v>158</v>
      </c>
      <c r="X61" s="12" t="s">
        <v>159</v>
      </c>
      <c r="Y61" s="12" t="s">
        <v>180</v>
      </c>
      <c r="Z61" s="12" t="s">
        <v>52</v>
      </c>
      <c r="AA61" s="12" t="s">
        <v>161</v>
      </c>
      <c r="AB61" s="14" t="s">
        <v>26</v>
      </c>
      <c r="AC61" s="12" t="s">
        <v>162</v>
      </c>
      <c r="AD61" s="13" t="s">
        <v>162</v>
      </c>
      <c r="AE61" s="12" t="s">
        <v>248</v>
      </c>
      <c r="AF61" s="12" t="n">
        <v>2019</v>
      </c>
      <c r="AG61" s="12"/>
      <c r="AH61" s="12"/>
      <c r="AI61" s="12"/>
      <c r="AJ61" s="12" t="s">
        <v>835</v>
      </c>
      <c r="AK61" s="12"/>
      <c r="AL61" s="12"/>
      <c r="AM61" s="12" t="s">
        <v>248</v>
      </c>
      <c r="AN61" s="12"/>
      <c r="AO61" s="12" t="s">
        <v>167</v>
      </c>
      <c r="AP61" s="13" t="s">
        <v>836</v>
      </c>
      <c r="AQ61" s="12" t="s">
        <v>169</v>
      </c>
      <c r="AR61" s="12" t="n">
        <v>3538745</v>
      </c>
      <c r="AS61" s="12" t="n">
        <v>0</v>
      </c>
      <c r="AT61" s="12" t="s">
        <v>248</v>
      </c>
      <c r="AU61" s="12"/>
      <c r="AV61" s="12"/>
      <c r="AW61" s="12" t="n">
        <v>0</v>
      </c>
      <c r="AX61" s="12" t="n">
        <v>5</v>
      </c>
      <c r="AY61" s="12" t="s">
        <v>172</v>
      </c>
      <c r="AZ61" s="12" t="n">
        <v>8</v>
      </c>
      <c r="BA61" s="12" t="n">
        <v>8</v>
      </c>
      <c r="BB61" s="12" t="s">
        <v>173</v>
      </c>
      <c r="BC61" s="13"/>
      <c r="BD61" s="12"/>
      <c r="BE61" s="12" t="s">
        <v>174</v>
      </c>
    </row>
    <row r="62" customFormat="false" ht="35.05" hidden="false" customHeight="false" outlineLevel="0" collapsed="false">
      <c r="A62" s="12" t="s">
        <v>837</v>
      </c>
      <c r="B62" s="13" t="s">
        <v>838</v>
      </c>
      <c r="C62" s="13" t="s">
        <v>839</v>
      </c>
      <c r="D62" s="12" t="s">
        <v>146</v>
      </c>
      <c r="E62" s="12" t="s">
        <v>20</v>
      </c>
      <c r="F62" s="12" t="s">
        <v>38</v>
      </c>
      <c r="G62" s="12" t="s">
        <v>840</v>
      </c>
      <c r="H62" s="12" t="s">
        <v>831</v>
      </c>
      <c r="I62" s="12" t="s">
        <v>617</v>
      </c>
      <c r="J62" s="12" t="s">
        <v>832</v>
      </c>
      <c r="K62" s="12" t="s">
        <v>831</v>
      </c>
      <c r="L62" s="12" t="s">
        <v>20</v>
      </c>
      <c r="M62" s="12" t="s">
        <v>66</v>
      </c>
      <c r="N62" s="12" t="s">
        <v>833</v>
      </c>
      <c r="O62" s="12" t="s">
        <v>226</v>
      </c>
      <c r="P62" s="12" t="n">
        <v>1</v>
      </c>
      <c r="Q62" s="12" t="s">
        <v>153</v>
      </c>
      <c r="R62" s="12" t="s">
        <v>73</v>
      </c>
      <c r="S62" s="12" t="s">
        <v>227</v>
      </c>
      <c r="T62" s="12" t="s">
        <v>191</v>
      </c>
      <c r="U62" s="12" t="s">
        <v>156</v>
      </c>
      <c r="V62" s="12" t="s">
        <v>157</v>
      </c>
      <c r="W62" s="12" t="s">
        <v>158</v>
      </c>
      <c r="X62" s="12" t="s">
        <v>159</v>
      </c>
      <c r="Y62" s="12" t="s">
        <v>180</v>
      </c>
      <c r="Z62" s="12" t="s">
        <v>52</v>
      </c>
      <c r="AA62" s="12" t="s">
        <v>161</v>
      </c>
      <c r="AB62" s="14" t="s">
        <v>26</v>
      </c>
      <c r="AC62" s="12" t="s">
        <v>162</v>
      </c>
      <c r="AD62" s="13" t="s">
        <v>162</v>
      </c>
      <c r="AE62" s="12" t="s">
        <v>248</v>
      </c>
      <c r="AF62" s="12" t="n">
        <v>2022</v>
      </c>
      <c r="AG62" s="12"/>
      <c r="AH62" s="12"/>
      <c r="AI62" s="12"/>
      <c r="AJ62" s="12" t="s">
        <v>841</v>
      </c>
      <c r="AK62" s="12"/>
      <c r="AL62" s="12"/>
      <c r="AM62" s="12" t="s">
        <v>248</v>
      </c>
      <c r="AN62" s="12"/>
      <c r="AO62" s="12" t="s">
        <v>167</v>
      </c>
      <c r="AP62" s="13" t="s">
        <v>842</v>
      </c>
      <c r="AQ62" s="12" t="s">
        <v>169</v>
      </c>
      <c r="AR62" s="12" t="n">
        <v>6820431</v>
      </c>
      <c r="AS62" s="12" t="n">
        <v>37</v>
      </c>
      <c r="AT62" s="12" t="s">
        <v>248</v>
      </c>
      <c r="AU62" s="12"/>
      <c r="AV62" s="12"/>
      <c r="AW62" s="12" t="n">
        <v>0</v>
      </c>
      <c r="AX62" s="12" t="n">
        <v>5</v>
      </c>
      <c r="AY62" s="12" t="s">
        <v>172</v>
      </c>
      <c r="AZ62" s="12" t="n">
        <v>4</v>
      </c>
      <c r="BA62" s="12" t="n">
        <v>3</v>
      </c>
      <c r="BB62" s="12" t="s">
        <v>173</v>
      </c>
      <c r="BC62" s="13"/>
      <c r="BD62" s="12"/>
      <c r="BE62" s="12" t="s">
        <v>174</v>
      </c>
    </row>
    <row r="63" customFormat="false" ht="35.05" hidden="false" customHeight="false" outlineLevel="0" collapsed="false">
      <c r="A63" s="12" t="s">
        <v>843</v>
      </c>
      <c r="B63" s="13" t="s">
        <v>844</v>
      </c>
      <c r="C63" s="13" t="s">
        <v>845</v>
      </c>
      <c r="D63" s="12" t="s">
        <v>146</v>
      </c>
      <c r="E63" s="12" t="s">
        <v>20</v>
      </c>
      <c r="F63" s="12" t="s">
        <v>38</v>
      </c>
      <c r="G63" s="12" t="s">
        <v>751</v>
      </c>
      <c r="H63" s="12" t="s">
        <v>831</v>
      </c>
      <c r="I63" s="12" t="s">
        <v>617</v>
      </c>
      <c r="J63" s="12" t="s">
        <v>832</v>
      </c>
      <c r="K63" s="12" t="s">
        <v>831</v>
      </c>
      <c r="L63" s="12" t="s">
        <v>20</v>
      </c>
      <c r="M63" s="12" t="s">
        <v>66</v>
      </c>
      <c r="N63" s="12" t="s">
        <v>833</v>
      </c>
      <c r="O63" s="12" t="s">
        <v>226</v>
      </c>
      <c r="P63" s="12" t="n">
        <v>1</v>
      </c>
      <c r="Q63" s="12" t="s">
        <v>153</v>
      </c>
      <c r="R63" s="12" t="s">
        <v>73</v>
      </c>
      <c r="S63" s="12" t="s">
        <v>227</v>
      </c>
      <c r="T63" s="12" t="s">
        <v>191</v>
      </c>
      <c r="U63" s="12" t="s">
        <v>156</v>
      </c>
      <c r="V63" s="12" t="s">
        <v>157</v>
      </c>
      <c r="W63" s="12" t="s">
        <v>158</v>
      </c>
      <c r="X63" s="12" t="s">
        <v>159</v>
      </c>
      <c r="Y63" s="12" t="s">
        <v>180</v>
      </c>
      <c r="Z63" s="12" t="s">
        <v>52</v>
      </c>
      <c r="AA63" s="12" t="s">
        <v>161</v>
      </c>
      <c r="AB63" s="14" t="s">
        <v>26</v>
      </c>
      <c r="AC63" s="12" t="s">
        <v>162</v>
      </c>
      <c r="AD63" s="13" t="s">
        <v>162</v>
      </c>
      <c r="AE63" s="12" t="s">
        <v>248</v>
      </c>
      <c r="AF63" s="12" t="n">
        <v>2018</v>
      </c>
      <c r="AG63" s="12"/>
      <c r="AH63" s="12"/>
      <c r="AI63" s="12"/>
      <c r="AJ63" s="12" t="s">
        <v>846</v>
      </c>
      <c r="AK63" s="12"/>
      <c r="AL63" s="12"/>
      <c r="AM63" s="12" t="s">
        <v>248</v>
      </c>
      <c r="AN63" s="12"/>
      <c r="AO63" s="12" t="s">
        <v>167</v>
      </c>
      <c r="AP63" s="13" t="s">
        <v>847</v>
      </c>
      <c r="AQ63" s="12" t="s">
        <v>169</v>
      </c>
      <c r="AR63" s="12" t="n">
        <v>42482055</v>
      </c>
      <c r="AS63" s="12" t="n">
        <v>2</v>
      </c>
      <c r="AT63" s="12" t="s">
        <v>248</v>
      </c>
      <c r="AU63" s="12"/>
      <c r="AV63" s="12"/>
      <c r="AW63" s="12" t="n">
        <v>0</v>
      </c>
      <c r="AX63" s="12" t="n">
        <v>5</v>
      </c>
      <c r="AY63" s="12" t="s">
        <v>172</v>
      </c>
      <c r="AZ63" s="12" t="n">
        <v>4</v>
      </c>
      <c r="BA63" s="12" t="n">
        <v>3</v>
      </c>
      <c r="BB63" s="12" t="s">
        <v>173</v>
      </c>
      <c r="BC63" s="13"/>
      <c r="BD63" s="12"/>
      <c r="BE63" s="12" t="s">
        <v>174</v>
      </c>
    </row>
    <row r="64" customFormat="false" ht="35.05" hidden="false" customHeight="false" outlineLevel="0" collapsed="false">
      <c r="A64" s="12" t="s">
        <v>848</v>
      </c>
      <c r="B64" s="13" t="s">
        <v>849</v>
      </c>
      <c r="C64" s="13" t="s">
        <v>850</v>
      </c>
      <c r="D64" s="12" t="s">
        <v>146</v>
      </c>
      <c r="E64" s="12" t="s">
        <v>20</v>
      </c>
      <c r="F64" s="12" t="s">
        <v>46</v>
      </c>
      <c r="G64" s="12" t="s">
        <v>851</v>
      </c>
      <c r="H64" s="12" t="s">
        <v>831</v>
      </c>
      <c r="I64" s="12" t="s">
        <v>617</v>
      </c>
      <c r="J64" s="12" t="s">
        <v>832</v>
      </c>
      <c r="K64" s="12" t="s">
        <v>831</v>
      </c>
      <c r="L64" s="12" t="s">
        <v>20</v>
      </c>
      <c r="M64" s="12" t="s">
        <v>66</v>
      </c>
      <c r="N64" s="12" t="s">
        <v>833</v>
      </c>
      <c r="O64" s="12" t="s">
        <v>276</v>
      </c>
      <c r="P64" s="12" t="n">
        <v>9</v>
      </c>
      <c r="Q64" s="12" t="s">
        <v>277</v>
      </c>
      <c r="R64" s="12" t="s">
        <v>73</v>
      </c>
      <c r="S64" s="12" t="s">
        <v>227</v>
      </c>
      <c r="T64" s="12" t="s">
        <v>191</v>
      </c>
      <c r="U64" s="12" t="s">
        <v>156</v>
      </c>
      <c r="V64" s="12" t="s">
        <v>157</v>
      </c>
      <c r="W64" s="12" t="s">
        <v>158</v>
      </c>
      <c r="X64" s="12" t="s">
        <v>159</v>
      </c>
      <c r="Y64" s="12" t="s">
        <v>180</v>
      </c>
      <c r="Z64" s="12" t="s">
        <v>52</v>
      </c>
      <c r="AA64" s="12" t="s">
        <v>161</v>
      </c>
      <c r="AB64" s="14" t="s">
        <v>26</v>
      </c>
      <c r="AC64" s="12" t="s">
        <v>162</v>
      </c>
      <c r="AD64" s="13" t="s">
        <v>162</v>
      </c>
      <c r="AE64" s="12" t="s">
        <v>248</v>
      </c>
      <c r="AF64" s="12" t="n">
        <v>2020</v>
      </c>
      <c r="AG64" s="12"/>
      <c r="AH64" s="12"/>
      <c r="AI64" s="12"/>
      <c r="AJ64" s="12" t="n">
        <v>2020</v>
      </c>
      <c r="AK64" s="12"/>
      <c r="AL64" s="12"/>
      <c r="AM64" s="12" t="s">
        <v>248</v>
      </c>
      <c r="AN64" s="12"/>
      <c r="AO64" s="12" t="s">
        <v>167</v>
      </c>
      <c r="AP64" s="13" t="s">
        <v>852</v>
      </c>
      <c r="AQ64" s="12" t="s">
        <v>169</v>
      </c>
      <c r="AR64" s="12" t="n">
        <v>14397704</v>
      </c>
      <c r="AS64" s="12" t="n">
        <v>1258</v>
      </c>
      <c r="AT64" s="12" t="s">
        <v>248</v>
      </c>
      <c r="AU64" s="12"/>
      <c r="AV64" s="12"/>
      <c r="AW64" s="12" t="n">
        <v>0</v>
      </c>
      <c r="AX64" s="12" t="n">
        <v>5</v>
      </c>
      <c r="AY64" s="12" t="s">
        <v>172</v>
      </c>
      <c r="AZ64" s="12" t="n">
        <v>5</v>
      </c>
      <c r="BA64" s="12" t="n">
        <v>4</v>
      </c>
      <c r="BB64" s="12" t="s">
        <v>173</v>
      </c>
      <c r="BC64" s="13"/>
      <c r="BD64" s="12"/>
      <c r="BE64" s="12" t="s">
        <v>174</v>
      </c>
    </row>
    <row r="65" customFormat="false" ht="35.05" hidden="false" customHeight="false" outlineLevel="0" collapsed="false">
      <c r="A65" s="12" t="s">
        <v>853</v>
      </c>
      <c r="B65" s="13" t="s">
        <v>854</v>
      </c>
      <c r="C65" s="13" t="s">
        <v>855</v>
      </c>
      <c r="D65" s="12" t="s">
        <v>146</v>
      </c>
      <c r="E65" s="12" t="s">
        <v>20</v>
      </c>
      <c r="F65" s="12" t="s">
        <v>38</v>
      </c>
      <c r="G65" s="12" t="s">
        <v>856</v>
      </c>
      <c r="H65" s="12" t="s">
        <v>831</v>
      </c>
      <c r="I65" s="12" t="s">
        <v>617</v>
      </c>
      <c r="J65" s="12" t="s">
        <v>832</v>
      </c>
      <c r="K65" s="12" t="s">
        <v>831</v>
      </c>
      <c r="L65" s="12" t="s">
        <v>20</v>
      </c>
      <c r="M65" s="12" t="s">
        <v>66</v>
      </c>
      <c r="N65" s="12" t="s">
        <v>833</v>
      </c>
      <c r="O65" s="12" t="s">
        <v>234</v>
      </c>
      <c r="P65" s="12" t="n">
        <v>1</v>
      </c>
      <c r="Q65" s="12" t="s">
        <v>153</v>
      </c>
      <c r="R65" s="12" t="s">
        <v>77</v>
      </c>
      <c r="S65" s="12" t="s">
        <v>235</v>
      </c>
      <c r="T65" s="12" t="s">
        <v>191</v>
      </c>
      <c r="U65" s="12" t="s">
        <v>156</v>
      </c>
      <c r="V65" s="12" t="s">
        <v>157</v>
      </c>
      <c r="W65" s="12" t="s">
        <v>158</v>
      </c>
      <c r="X65" s="12" t="s">
        <v>159</v>
      </c>
      <c r="Y65" s="12" t="s">
        <v>180</v>
      </c>
      <c r="Z65" s="12" t="s">
        <v>52</v>
      </c>
      <c r="AA65" s="12" t="s">
        <v>161</v>
      </c>
      <c r="AB65" s="14" t="s">
        <v>26</v>
      </c>
      <c r="AC65" s="12" t="s">
        <v>162</v>
      </c>
      <c r="AD65" s="13" t="s">
        <v>857</v>
      </c>
      <c r="AE65" s="12" t="s">
        <v>248</v>
      </c>
      <c r="AF65" s="12" t="n">
        <v>2024</v>
      </c>
      <c r="AG65" s="12" t="n">
        <v>2024</v>
      </c>
      <c r="AH65" s="12"/>
      <c r="AI65" s="12"/>
      <c r="AJ65" s="12" t="s">
        <v>653</v>
      </c>
      <c r="AK65" s="12"/>
      <c r="AL65" s="12"/>
      <c r="AM65" s="12" t="s">
        <v>248</v>
      </c>
      <c r="AN65" s="12"/>
      <c r="AO65" s="12" t="s">
        <v>167</v>
      </c>
      <c r="AP65" s="13" t="s">
        <v>858</v>
      </c>
      <c r="AQ65" s="12" t="s">
        <v>169</v>
      </c>
      <c r="AR65" s="12" t="n">
        <v>21188847</v>
      </c>
      <c r="AS65" s="12" t="n">
        <v>475045928</v>
      </c>
      <c r="AT65" s="12" t="s">
        <v>248</v>
      </c>
      <c r="AU65" s="12"/>
      <c r="AV65" s="12"/>
      <c r="AW65" s="12" t="n">
        <v>0</v>
      </c>
      <c r="AX65" s="12" t="n">
        <v>5</v>
      </c>
      <c r="AY65" s="12" t="s">
        <v>172</v>
      </c>
      <c r="AZ65" s="12" t="n">
        <v>11</v>
      </c>
      <c r="BA65" s="12" t="n">
        <v>7</v>
      </c>
      <c r="BB65" s="12" t="s">
        <v>173</v>
      </c>
      <c r="BC65" s="13"/>
      <c r="BD65" s="12"/>
      <c r="BE65" s="12" t="s">
        <v>174</v>
      </c>
    </row>
    <row r="66" customFormat="false" ht="23.85" hidden="false" customHeight="false" outlineLevel="0" collapsed="false">
      <c r="A66" s="12" t="s">
        <v>859</v>
      </c>
      <c r="B66" s="13" t="s">
        <v>860</v>
      </c>
      <c r="C66" s="13" t="s">
        <v>861</v>
      </c>
      <c r="D66" s="12" t="s">
        <v>146</v>
      </c>
      <c r="E66" s="12" t="s">
        <v>20</v>
      </c>
      <c r="F66" s="12" t="s">
        <v>40</v>
      </c>
      <c r="G66" s="12" t="s">
        <v>862</v>
      </c>
      <c r="H66" s="12" t="s">
        <v>831</v>
      </c>
      <c r="I66" s="12" t="s">
        <v>617</v>
      </c>
      <c r="J66" s="12" t="s">
        <v>832</v>
      </c>
      <c r="K66" s="12" t="s">
        <v>831</v>
      </c>
      <c r="L66" s="12" t="s">
        <v>20</v>
      </c>
      <c r="M66" s="12" t="s">
        <v>66</v>
      </c>
      <c r="N66" s="12" t="s">
        <v>833</v>
      </c>
      <c r="O66" s="12" t="s">
        <v>234</v>
      </c>
      <c r="P66" s="12" t="n">
        <v>1</v>
      </c>
      <c r="Q66" s="12" t="s">
        <v>153</v>
      </c>
      <c r="R66" s="12" t="s">
        <v>77</v>
      </c>
      <c r="S66" s="12" t="s">
        <v>235</v>
      </c>
      <c r="T66" s="12" t="s">
        <v>191</v>
      </c>
      <c r="U66" s="12" t="s">
        <v>346</v>
      </c>
      <c r="V66" s="12" t="s">
        <v>60</v>
      </c>
      <c r="W66" s="12" t="s">
        <v>60</v>
      </c>
      <c r="X66" s="12" t="s">
        <v>60</v>
      </c>
      <c r="Y66" s="12" t="s">
        <v>215</v>
      </c>
      <c r="Z66" s="12" t="s">
        <v>53</v>
      </c>
      <c r="AA66" s="12" t="s">
        <v>216</v>
      </c>
      <c r="AB66" s="15" t="s">
        <v>27</v>
      </c>
      <c r="AC66" s="12" t="s">
        <v>205</v>
      </c>
      <c r="AD66" s="13" t="s">
        <v>863</v>
      </c>
      <c r="AE66" s="12" t="s">
        <v>541</v>
      </c>
      <c r="AF66" s="12"/>
      <c r="AG66" s="12" t="s">
        <v>864</v>
      </c>
      <c r="AH66" s="12" t="n">
        <v>2021</v>
      </c>
      <c r="AI66" s="12"/>
      <c r="AJ66" s="12"/>
      <c r="AK66" s="12"/>
      <c r="AL66" s="12"/>
      <c r="AM66" s="12" t="s">
        <v>541</v>
      </c>
      <c r="AN66" s="12"/>
      <c r="AO66" s="12" t="s">
        <v>488</v>
      </c>
      <c r="AP66" s="13" t="s">
        <v>865</v>
      </c>
      <c r="AQ66" s="12" t="s">
        <v>183</v>
      </c>
      <c r="AR66" s="12"/>
      <c r="AS66" s="12"/>
      <c r="AT66" s="12"/>
      <c r="AU66" s="12"/>
      <c r="AV66" s="12"/>
      <c r="AW66" s="12" t="n">
        <v>0</v>
      </c>
      <c r="AX66" s="12" t="n">
        <v>4</v>
      </c>
      <c r="AY66" s="12" t="s">
        <v>338</v>
      </c>
      <c r="AZ66" s="12" t="n">
        <v>7</v>
      </c>
      <c r="BA66" s="12" t="n">
        <v>1</v>
      </c>
      <c r="BB66" s="12" t="s">
        <v>866</v>
      </c>
      <c r="BC66" s="13" t="s">
        <v>867</v>
      </c>
      <c r="BD66" s="12"/>
      <c r="BE66" s="12" t="s">
        <v>174</v>
      </c>
    </row>
    <row r="67" customFormat="false" ht="23.85" hidden="false" customHeight="false" outlineLevel="0" collapsed="false">
      <c r="A67" s="12" t="s">
        <v>868</v>
      </c>
      <c r="B67" s="13" t="s">
        <v>869</v>
      </c>
      <c r="C67" s="13" t="s">
        <v>870</v>
      </c>
      <c r="D67" s="12" t="s">
        <v>146</v>
      </c>
      <c r="E67" s="12" t="s">
        <v>20</v>
      </c>
      <c r="F67" s="12" t="s">
        <v>40</v>
      </c>
      <c r="G67" s="12" t="s">
        <v>871</v>
      </c>
      <c r="H67" s="12" t="s">
        <v>831</v>
      </c>
      <c r="I67" s="12" t="s">
        <v>617</v>
      </c>
      <c r="J67" s="12" t="s">
        <v>832</v>
      </c>
      <c r="K67" s="12" t="s">
        <v>831</v>
      </c>
      <c r="L67" s="12" t="s">
        <v>20</v>
      </c>
      <c r="M67" s="12" t="s">
        <v>66</v>
      </c>
      <c r="N67" s="12" t="s">
        <v>833</v>
      </c>
      <c r="O67" s="12" t="s">
        <v>304</v>
      </c>
      <c r="P67" s="12" t="n">
        <v>1</v>
      </c>
      <c r="Q67" s="12" t="s">
        <v>153</v>
      </c>
      <c r="R67" s="12" t="s">
        <v>79</v>
      </c>
      <c r="S67" s="12" t="s">
        <v>872</v>
      </c>
      <c r="T67" s="12" t="s">
        <v>179</v>
      </c>
      <c r="U67" s="12" t="s">
        <v>159</v>
      </c>
      <c r="V67" s="12" t="s">
        <v>60</v>
      </c>
      <c r="W67" s="12" t="s">
        <v>60</v>
      </c>
      <c r="X67" s="12" t="s">
        <v>159</v>
      </c>
      <c r="Y67" s="12" t="s">
        <v>873</v>
      </c>
      <c r="Z67" s="12" t="s">
        <v>55</v>
      </c>
      <c r="AA67" s="12" t="s">
        <v>216</v>
      </c>
      <c r="AB67" s="18" t="s">
        <v>30</v>
      </c>
      <c r="AC67" s="12" t="s">
        <v>380</v>
      </c>
      <c r="AD67" s="13" t="s">
        <v>874</v>
      </c>
      <c r="AE67" s="12" t="s">
        <v>541</v>
      </c>
      <c r="AF67" s="12" t="n">
        <v>2021</v>
      </c>
      <c r="AG67" s="12" t="s">
        <v>875</v>
      </c>
      <c r="AH67" s="12"/>
      <c r="AI67" s="12"/>
      <c r="AJ67" s="12"/>
      <c r="AK67" s="12"/>
      <c r="AL67" s="12"/>
      <c r="AM67" s="12" t="s">
        <v>541</v>
      </c>
      <c r="AN67" s="12"/>
      <c r="AO67" s="12" t="s">
        <v>488</v>
      </c>
      <c r="AP67" s="13" t="s">
        <v>876</v>
      </c>
      <c r="AQ67" s="12" t="s">
        <v>183</v>
      </c>
      <c r="AR67" s="12"/>
      <c r="AS67" s="12"/>
      <c r="AT67" s="12"/>
      <c r="AU67" s="12"/>
      <c r="AV67" s="12"/>
      <c r="AW67" s="12" t="n">
        <v>0</v>
      </c>
      <c r="AX67" s="12" t="n">
        <v>4</v>
      </c>
      <c r="AY67" s="12" t="s">
        <v>338</v>
      </c>
      <c r="AZ67" s="12" t="n">
        <v>3</v>
      </c>
      <c r="BA67" s="12" t="n">
        <v>1</v>
      </c>
      <c r="BB67" s="12" t="s">
        <v>877</v>
      </c>
      <c r="BC67" s="13"/>
      <c r="BD67" s="12"/>
      <c r="BE67" s="12" t="s">
        <v>174</v>
      </c>
    </row>
    <row r="68" customFormat="false" ht="23.85" hidden="false" customHeight="false" outlineLevel="0" collapsed="false">
      <c r="A68" s="12" t="s">
        <v>878</v>
      </c>
      <c r="B68" s="13" t="s">
        <v>879</v>
      </c>
      <c r="C68" s="13" t="s">
        <v>880</v>
      </c>
      <c r="D68" s="12" t="s">
        <v>146</v>
      </c>
      <c r="E68" s="12" t="s">
        <v>20</v>
      </c>
      <c r="F68" s="12" t="s">
        <v>47</v>
      </c>
      <c r="G68" s="12" t="s">
        <v>881</v>
      </c>
      <c r="H68" s="12" t="s">
        <v>882</v>
      </c>
      <c r="I68" s="12" t="s">
        <v>617</v>
      </c>
      <c r="J68" s="12" t="s">
        <v>883</v>
      </c>
      <c r="K68" s="12" t="s">
        <v>882</v>
      </c>
      <c r="L68" s="12" t="s">
        <v>20</v>
      </c>
      <c r="M68" s="12" t="s">
        <v>66</v>
      </c>
      <c r="N68" s="12" t="s">
        <v>884</v>
      </c>
      <c r="O68" s="12" t="s">
        <v>152</v>
      </c>
      <c r="P68" s="12" t="n">
        <v>1</v>
      </c>
      <c r="Q68" s="12" t="s">
        <v>153</v>
      </c>
      <c r="R68" s="12" t="s">
        <v>78</v>
      </c>
      <c r="S68" s="12" t="s">
        <v>154</v>
      </c>
      <c r="T68" s="12" t="s">
        <v>155</v>
      </c>
      <c r="U68" s="12" t="s">
        <v>885</v>
      </c>
      <c r="V68" s="12" t="s">
        <v>214</v>
      </c>
      <c r="W68" s="12" t="s">
        <v>158</v>
      </c>
      <c r="X68" s="12" t="s">
        <v>159</v>
      </c>
      <c r="Y68" s="12" t="s">
        <v>215</v>
      </c>
      <c r="Z68" s="12" t="s">
        <v>55</v>
      </c>
      <c r="AA68" s="12" t="s">
        <v>216</v>
      </c>
      <c r="AB68" s="14" t="s">
        <v>26</v>
      </c>
      <c r="AC68" s="12" t="s">
        <v>162</v>
      </c>
      <c r="AD68" s="13" t="s">
        <v>886</v>
      </c>
      <c r="AE68" s="12" t="s">
        <v>887</v>
      </c>
      <c r="AF68" s="12" t="n">
        <v>2017</v>
      </c>
      <c r="AG68" s="12" t="s">
        <v>888</v>
      </c>
      <c r="AH68" s="12"/>
      <c r="AI68" s="12"/>
      <c r="AJ68" s="12" t="n">
        <v>2017</v>
      </c>
      <c r="AK68" s="12"/>
      <c r="AL68" s="12"/>
      <c r="AM68" s="12" t="s">
        <v>887</v>
      </c>
      <c r="AN68" s="12"/>
      <c r="AO68" s="12" t="s">
        <v>488</v>
      </c>
      <c r="AP68" s="13"/>
      <c r="AQ68" s="12" t="s">
        <v>183</v>
      </c>
      <c r="AR68" s="12"/>
      <c r="AS68" s="12"/>
      <c r="AT68" s="12"/>
      <c r="AU68" s="12"/>
      <c r="AV68" s="12"/>
      <c r="AW68" s="12" t="n">
        <v>0</v>
      </c>
      <c r="AX68" s="12" t="n">
        <v>4</v>
      </c>
      <c r="AY68" s="12" t="s">
        <v>338</v>
      </c>
      <c r="AZ68" s="12" t="n">
        <v>3</v>
      </c>
      <c r="BA68" s="12" t="n">
        <v>2</v>
      </c>
      <c r="BB68" s="12" t="s">
        <v>889</v>
      </c>
      <c r="BC68" s="13"/>
      <c r="BD68" s="12"/>
      <c r="BE68" s="12" t="s">
        <v>174</v>
      </c>
    </row>
    <row r="69" customFormat="false" ht="23.85" hidden="false" customHeight="false" outlineLevel="0" collapsed="false">
      <c r="A69" s="12" t="s">
        <v>890</v>
      </c>
      <c r="B69" s="13" t="s">
        <v>891</v>
      </c>
      <c r="C69" s="13" t="s">
        <v>892</v>
      </c>
      <c r="D69" s="12" t="s">
        <v>146</v>
      </c>
      <c r="E69" s="12" t="s">
        <v>20</v>
      </c>
      <c r="F69" s="12" t="s">
        <v>47</v>
      </c>
      <c r="G69" s="12" t="s">
        <v>893</v>
      </c>
      <c r="H69" s="12" t="s">
        <v>882</v>
      </c>
      <c r="I69" s="12" t="s">
        <v>617</v>
      </c>
      <c r="J69" s="12" t="s">
        <v>883</v>
      </c>
      <c r="K69" s="12" t="s">
        <v>882</v>
      </c>
      <c r="L69" s="12" t="s">
        <v>20</v>
      </c>
      <c r="M69" s="12" t="s">
        <v>66</v>
      </c>
      <c r="N69" s="12" t="s">
        <v>884</v>
      </c>
      <c r="O69" s="12" t="s">
        <v>368</v>
      </c>
      <c r="P69" s="12" t="n">
        <v>7</v>
      </c>
      <c r="Q69" s="12" t="s">
        <v>369</v>
      </c>
      <c r="R69" s="12" t="s">
        <v>81</v>
      </c>
      <c r="S69" s="12" t="s">
        <v>317</v>
      </c>
      <c r="T69" s="12" t="s">
        <v>155</v>
      </c>
      <c r="U69" s="12" t="s">
        <v>346</v>
      </c>
      <c r="V69" s="12" t="s">
        <v>60</v>
      </c>
      <c r="W69" s="12" t="s">
        <v>60</v>
      </c>
      <c r="X69" s="12" t="s">
        <v>60</v>
      </c>
      <c r="Y69" s="12" t="s">
        <v>215</v>
      </c>
      <c r="Z69" s="12" t="s">
        <v>55</v>
      </c>
      <c r="AA69" s="12" t="s">
        <v>216</v>
      </c>
      <c r="AB69" s="18" t="s">
        <v>30</v>
      </c>
      <c r="AC69" s="12" t="s">
        <v>380</v>
      </c>
      <c r="AD69" s="13" t="s">
        <v>894</v>
      </c>
      <c r="AE69" s="12" t="s">
        <v>895</v>
      </c>
      <c r="AF69" s="12" t="n">
        <v>2019</v>
      </c>
      <c r="AG69" s="12" t="s">
        <v>896</v>
      </c>
      <c r="AH69" s="12"/>
      <c r="AI69" s="12"/>
      <c r="AJ69" s="12"/>
      <c r="AK69" s="12"/>
      <c r="AL69" s="12"/>
      <c r="AM69" s="12" t="s">
        <v>895</v>
      </c>
      <c r="AN69" s="12"/>
      <c r="AO69" s="12" t="s">
        <v>897</v>
      </c>
      <c r="AP69" s="13" t="s">
        <v>898</v>
      </c>
      <c r="AQ69" s="12" t="s">
        <v>183</v>
      </c>
      <c r="AR69" s="12"/>
      <c r="AS69" s="12"/>
      <c r="AT69" s="12"/>
      <c r="AU69" s="12"/>
      <c r="AV69" s="12"/>
      <c r="AW69" s="12" t="n">
        <v>0</v>
      </c>
      <c r="AX69" s="12" t="n">
        <v>4</v>
      </c>
      <c r="AY69" s="12" t="s">
        <v>338</v>
      </c>
      <c r="AZ69" s="12" t="n">
        <v>5</v>
      </c>
      <c r="BA69" s="12" t="n">
        <v>4</v>
      </c>
      <c r="BB69" s="12" t="s">
        <v>899</v>
      </c>
      <c r="BC69" s="13"/>
      <c r="BD69" s="12"/>
      <c r="BE69" s="12" t="s">
        <v>174</v>
      </c>
    </row>
    <row r="70" customFormat="false" ht="23.85" hidden="false" customHeight="false" outlineLevel="0" collapsed="false">
      <c r="A70" s="12" t="s">
        <v>900</v>
      </c>
      <c r="B70" s="13" t="s">
        <v>901</v>
      </c>
      <c r="C70" s="13" t="s">
        <v>902</v>
      </c>
      <c r="D70" s="12" t="s">
        <v>146</v>
      </c>
      <c r="E70" s="12" t="s">
        <v>20</v>
      </c>
      <c r="F70" s="12" t="s">
        <v>39</v>
      </c>
      <c r="G70" s="12" t="s">
        <v>903</v>
      </c>
      <c r="H70" s="12" t="s">
        <v>882</v>
      </c>
      <c r="I70" s="12" t="s">
        <v>617</v>
      </c>
      <c r="J70" s="12" t="s">
        <v>883</v>
      </c>
      <c r="K70" s="12" t="s">
        <v>882</v>
      </c>
      <c r="L70" s="12" t="s">
        <v>20</v>
      </c>
      <c r="M70" s="12" t="s">
        <v>66</v>
      </c>
      <c r="N70" s="12" t="s">
        <v>884</v>
      </c>
      <c r="O70" s="12" t="s">
        <v>152</v>
      </c>
      <c r="P70" s="12" t="n">
        <v>1</v>
      </c>
      <c r="Q70" s="12" t="s">
        <v>153</v>
      </c>
      <c r="R70" s="12" t="s">
        <v>78</v>
      </c>
      <c r="S70" s="12" t="s">
        <v>154</v>
      </c>
      <c r="T70" s="12" t="s">
        <v>155</v>
      </c>
      <c r="U70" s="12" t="s">
        <v>346</v>
      </c>
      <c r="V70" s="12" t="s">
        <v>60</v>
      </c>
      <c r="W70" s="12" t="s">
        <v>60</v>
      </c>
      <c r="X70" s="12" t="s">
        <v>60</v>
      </c>
      <c r="Y70" s="12" t="s">
        <v>215</v>
      </c>
      <c r="Z70" s="12" t="s">
        <v>60</v>
      </c>
      <c r="AA70" s="12" t="s">
        <v>216</v>
      </c>
      <c r="AB70" s="18" t="s">
        <v>30</v>
      </c>
      <c r="AC70" s="12" t="s">
        <v>380</v>
      </c>
      <c r="AD70" s="13" t="s">
        <v>904</v>
      </c>
      <c r="AE70" s="12" t="s">
        <v>905</v>
      </c>
      <c r="AF70" s="12" t="n">
        <v>2018</v>
      </c>
      <c r="AG70" s="12" t="s">
        <v>359</v>
      </c>
      <c r="AH70" s="12"/>
      <c r="AI70" s="12"/>
      <c r="AJ70" s="12"/>
      <c r="AK70" s="12"/>
      <c r="AL70" s="12"/>
      <c r="AM70" s="12" t="s">
        <v>905</v>
      </c>
      <c r="AN70" s="12"/>
      <c r="AO70" s="12" t="s">
        <v>626</v>
      </c>
      <c r="AP70" s="13"/>
      <c r="AQ70" s="12" t="s">
        <v>183</v>
      </c>
      <c r="AR70" s="12"/>
      <c r="AS70" s="12"/>
      <c r="AT70" s="12"/>
      <c r="AU70" s="12"/>
      <c r="AV70" s="12"/>
      <c r="AW70" s="12" t="n">
        <v>0</v>
      </c>
      <c r="AX70" s="12" t="n">
        <v>3</v>
      </c>
      <c r="AY70" s="12" t="s">
        <v>308</v>
      </c>
      <c r="AZ70" s="12" t="n">
        <v>2</v>
      </c>
      <c r="BA70" s="12" t="n">
        <v>0</v>
      </c>
      <c r="BB70" s="12" t="s">
        <v>906</v>
      </c>
      <c r="BC70" s="13"/>
      <c r="BD70" s="12"/>
      <c r="BE70" s="12" t="s">
        <v>174</v>
      </c>
    </row>
    <row r="71" customFormat="false" ht="23.85" hidden="false" customHeight="false" outlineLevel="0" collapsed="false">
      <c r="A71" s="12" t="s">
        <v>907</v>
      </c>
      <c r="B71" s="13" t="s">
        <v>908</v>
      </c>
      <c r="C71" s="13" t="s">
        <v>909</v>
      </c>
      <c r="D71" s="12" t="s">
        <v>146</v>
      </c>
      <c r="E71" s="12" t="s">
        <v>20</v>
      </c>
      <c r="F71" s="12" t="s">
        <v>38</v>
      </c>
      <c r="G71" s="12" t="s">
        <v>910</v>
      </c>
      <c r="H71" s="12" t="s">
        <v>882</v>
      </c>
      <c r="I71" s="12" t="s">
        <v>617</v>
      </c>
      <c r="J71" s="12" t="s">
        <v>883</v>
      </c>
      <c r="K71" s="12" t="s">
        <v>882</v>
      </c>
      <c r="L71" s="12" t="s">
        <v>20</v>
      </c>
      <c r="M71" s="12" t="s">
        <v>66</v>
      </c>
      <c r="N71" s="12" t="s">
        <v>884</v>
      </c>
      <c r="O71" s="12" t="s">
        <v>234</v>
      </c>
      <c r="P71" s="12" t="n">
        <v>1</v>
      </c>
      <c r="Q71" s="12" t="s">
        <v>153</v>
      </c>
      <c r="R71" s="12" t="s">
        <v>77</v>
      </c>
      <c r="S71" s="12" t="s">
        <v>235</v>
      </c>
      <c r="T71" s="12" t="s">
        <v>191</v>
      </c>
      <c r="U71" s="12" t="s">
        <v>346</v>
      </c>
      <c r="V71" s="12" t="s">
        <v>60</v>
      </c>
      <c r="W71" s="12" t="s">
        <v>60</v>
      </c>
      <c r="X71" s="12" t="s">
        <v>60</v>
      </c>
      <c r="Y71" s="12" t="s">
        <v>215</v>
      </c>
      <c r="Z71" s="12" t="s">
        <v>60</v>
      </c>
      <c r="AA71" s="12" t="s">
        <v>216</v>
      </c>
      <c r="AB71" s="16" t="s">
        <v>28</v>
      </c>
      <c r="AC71" s="12" t="s">
        <v>262</v>
      </c>
      <c r="AD71" s="13" t="s">
        <v>911</v>
      </c>
      <c r="AE71" s="12" t="s">
        <v>912</v>
      </c>
      <c r="AF71" s="12" t="n">
        <v>2026</v>
      </c>
      <c r="AG71" s="12" t="s">
        <v>913</v>
      </c>
      <c r="AH71" s="12"/>
      <c r="AI71" s="12"/>
      <c r="AJ71" s="12"/>
      <c r="AK71" s="12"/>
      <c r="AL71" s="12"/>
      <c r="AM71" s="12" t="s">
        <v>912</v>
      </c>
      <c r="AN71" s="12"/>
      <c r="AO71" s="12" t="s">
        <v>498</v>
      </c>
      <c r="AP71" s="13"/>
      <c r="AQ71" s="12" t="s">
        <v>183</v>
      </c>
      <c r="AR71" s="12"/>
      <c r="AS71" s="12"/>
      <c r="AT71" s="12"/>
      <c r="AU71" s="12"/>
      <c r="AV71" s="12"/>
      <c r="AW71" s="12" t="n">
        <v>0</v>
      </c>
      <c r="AX71" s="12" t="n">
        <v>4</v>
      </c>
      <c r="AY71" s="12" t="s">
        <v>338</v>
      </c>
      <c r="AZ71" s="12" t="n">
        <v>4</v>
      </c>
      <c r="BA71" s="12" t="n">
        <v>1</v>
      </c>
      <c r="BB71" s="12" t="s">
        <v>914</v>
      </c>
      <c r="BC71" s="13" t="s">
        <v>915</v>
      </c>
      <c r="BD71" s="12"/>
      <c r="BE71" s="12" t="s">
        <v>174</v>
      </c>
    </row>
    <row r="72" customFormat="false" ht="23.85" hidden="false" customHeight="false" outlineLevel="0" collapsed="false">
      <c r="A72" s="12" t="s">
        <v>916</v>
      </c>
      <c r="B72" s="13" t="s">
        <v>917</v>
      </c>
      <c r="C72" s="13" t="s">
        <v>918</v>
      </c>
      <c r="D72" s="12" t="s">
        <v>146</v>
      </c>
      <c r="E72" s="12" t="s">
        <v>20</v>
      </c>
      <c r="F72" s="12" t="s">
        <v>40</v>
      </c>
      <c r="G72" s="12" t="s">
        <v>919</v>
      </c>
      <c r="H72" s="12" t="s">
        <v>920</v>
      </c>
      <c r="I72" s="12" t="s">
        <v>617</v>
      </c>
      <c r="J72" s="12" t="s">
        <v>921</v>
      </c>
      <c r="K72" s="12" t="s">
        <v>920</v>
      </c>
      <c r="L72" s="12" t="s">
        <v>20</v>
      </c>
      <c r="M72" s="12" t="s">
        <v>63</v>
      </c>
      <c r="N72" s="12" t="s">
        <v>922</v>
      </c>
      <c r="O72" s="12" t="s">
        <v>152</v>
      </c>
      <c r="P72" s="12" t="n">
        <v>1</v>
      </c>
      <c r="Q72" s="12" t="s">
        <v>153</v>
      </c>
      <c r="R72" s="12" t="s">
        <v>78</v>
      </c>
      <c r="S72" s="12" t="s">
        <v>154</v>
      </c>
      <c r="T72" s="12" t="s">
        <v>155</v>
      </c>
      <c r="U72" s="12" t="s">
        <v>923</v>
      </c>
      <c r="V72" s="12" t="s">
        <v>60</v>
      </c>
      <c r="W72" s="12" t="s">
        <v>60</v>
      </c>
      <c r="X72" s="12" t="s">
        <v>60</v>
      </c>
      <c r="Y72" s="12" t="s">
        <v>215</v>
      </c>
      <c r="Z72" s="12" t="s">
        <v>60</v>
      </c>
      <c r="AA72" s="12" t="s">
        <v>216</v>
      </c>
      <c r="AB72" s="15" t="s">
        <v>27</v>
      </c>
      <c r="AC72" s="12" t="s">
        <v>205</v>
      </c>
      <c r="AD72" s="13" t="s">
        <v>924</v>
      </c>
      <c r="AE72" s="12" t="s">
        <v>925</v>
      </c>
      <c r="AF72" s="12" t="n">
        <v>2025</v>
      </c>
      <c r="AG72" s="12" t="s">
        <v>926</v>
      </c>
      <c r="AH72" s="12"/>
      <c r="AI72" s="12"/>
      <c r="AJ72" s="12"/>
      <c r="AK72" s="12"/>
      <c r="AL72" s="12"/>
      <c r="AM72" s="12" t="s">
        <v>925</v>
      </c>
      <c r="AN72" s="12"/>
      <c r="AO72" s="12" t="s">
        <v>927</v>
      </c>
      <c r="AP72" s="13"/>
      <c r="AQ72" s="12" t="s">
        <v>183</v>
      </c>
      <c r="AR72" s="12"/>
      <c r="AS72" s="12"/>
      <c r="AT72" s="12"/>
      <c r="AU72" s="12"/>
      <c r="AV72" s="12"/>
      <c r="AW72" s="12" t="n">
        <v>0</v>
      </c>
      <c r="AX72" s="12" t="n">
        <v>2</v>
      </c>
      <c r="AY72" s="12" t="s">
        <v>560</v>
      </c>
      <c r="AZ72" s="12" t="n">
        <v>1</v>
      </c>
      <c r="BA72" s="12" t="n">
        <v>0</v>
      </c>
      <c r="BB72" s="12" t="s">
        <v>928</v>
      </c>
      <c r="BC72" s="13" t="s">
        <v>929</v>
      </c>
      <c r="BD72" s="12"/>
      <c r="BE72" s="12" t="s">
        <v>174</v>
      </c>
    </row>
    <row r="73" customFormat="false" ht="15" hidden="false" customHeight="false" outlineLevel="0" collapsed="false">
      <c r="A73" s="12" t="s">
        <v>930</v>
      </c>
      <c r="B73" s="13" t="s">
        <v>931</v>
      </c>
      <c r="C73" s="13" t="s">
        <v>932</v>
      </c>
      <c r="D73" s="12" t="s">
        <v>146</v>
      </c>
      <c r="E73" s="12" t="s">
        <v>20</v>
      </c>
      <c r="F73" s="12" t="s">
        <v>40</v>
      </c>
      <c r="G73" s="12" t="s">
        <v>933</v>
      </c>
      <c r="H73" s="12" t="s">
        <v>920</v>
      </c>
      <c r="I73" s="12" t="s">
        <v>617</v>
      </c>
      <c r="J73" s="12" t="s">
        <v>921</v>
      </c>
      <c r="K73" s="12" t="s">
        <v>920</v>
      </c>
      <c r="L73" s="12" t="s">
        <v>20</v>
      </c>
      <c r="M73" s="12" t="s">
        <v>63</v>
      </c>
      <c r="N73" s="12" t="s">
        <v>922</v>
      </c>
      <c r="O73" s="12" t="s">
        <v>188</v>
      </c>
      <c r="P73" s="12" t="n">
        <v>4</v>
      </c>
      <c r="Q73" s="12" t="s">
        <v>189</v>
      </c>
      <c r="R73" s="12" t="s">
        <v>71</v>
      </c>
      <c r="S73" s="12" t="s">
        <v>190</v>
      </c>
      <c r="T73" s="12" t="s">
        <v>191</v>
      </c>
      <c r="U73" s="12" t="s">
        <v>203</v>
      </c>
      <c r="V73" s="12" t="s">
        <v>157</v>
      </c>
      <c r="W73" s="12" t="s">
        <v>158</v>
      </c>
      <c r="X73" s="12" t="s">
        <v>159</v>
      </c>
      <c r="Y73" s="12" t="s">
        <v>178</v>
      </c>
      <c r="Z73" s="12" t="s">
        <v>52</v>
      </c>
      <c r="AA73" s="12" t="s">
        <v>161</v>
      </c>
      <c r="AB73" s="14" t="s">
        <v>26</v>
      </c>
      <c r="AC73" s="12" t="s">
        <v>162</v>
      </c>
      <c r="AD73" s="13" t="s">
        <v>934</v>
      </c>
      <c r="AE73" s="12" t="s">
        <v>194</v>
      </c>
      <c r="AF73" s="12" t="n">
        <v>2025</v>
      </c>
      <c r="AG73" s="12" t="n">
        <v>2025</v>
      </c>
      <c r="AH73" s="12"/>
      <c r="AI73" s="12"/>
      <c r="AJ73" s="12"/>
      <c r="AK73" s="12"/>
      <c r="AL73" s="12"/>
      <c r="AM73" s="12" t="s">
        <v>194</v>
      </c>
      <c r="AN73" s="12"/>
      <c r="AO73" s="12" t="s">
        <v>195</v>
      </c>
      <c r="AP73" s="13" t="s">
        <v>196</v>
      </c>
      <c r="AQ73" s="12" t="s">
        <v>197</v>
      </c>
      <c r="AR73" s="12"/>
      <c r="AS73" s="12"/>
      <c r="AT73" s="12"/>
      <c r="AU73" s="12"/>
      <c r="AV73" s="12"/>
      <c r="AW73" s="12" t="n">
        <v>0</v>
      </c>
      <c r="AX73" s="12" t="n">
        <v>5</v>
      </c>
      <c r="AY73" s="12" t="s">
        <v>172</v>
      </c>
      <c r="AZ73" s="12" t="n">
        <v>3</v>
      </c>
      <c r="BA73" s="12" t="n">
        <v>1</v>
      </c>
      <c r="BB73" s="12" t="s">
        <v>198</v>
      </c>
      <c r="BC73" s="13"/>
      <c r="BD73" s="12"/>
      <c r="BE73" s="12" t="s">
        <v>174</v>
      </c>
    </row>
    <row r="74" customFormat="false" ht="57.45" hidden="false" customHeight="false" outlineLevel="0" collapsed="false">
      <c r="A74" s="12" t="s">
        <v>783</v>
      </c>
      <c r="B74" s="13" t="s">
        <v>935</v>
      </c>
      <c r="C74" s="13" t="s">
        <v>936</v>
      </c>
      <c r="D74" s="12" t="s">
        <v>937</v>
      </c>
      <c r="E74" s="12" t="s">
        <v>20</v>
      </c>
      <c r="F74" s="12" t="s">
        <v>48</v>
      </c>
      <c r="G74" s="12" t="s">
        <v>938</v>
      </c>
      <c r="H74" s="12" t="s">
        <v>920</v>
      </c>
      <c r="I74" s="12" t="s">
        <v>617</v>
      </c>
      <c r="J74" s="12" t="s">
        <v>921</v>
      </c>
      <c r="K74" s="12" t="s">
        <v>920</v>
      </c>
      <c r="L74" s="12" t="s">
        <v>20</v>
      </c>
      <c r="M74" s="12" t="s">
        <v>63</v>
      </c>
      <c r="N74" s="12" t="s">
        <v>922</v>
      </c>
      <c r="O74" s="12" t="s">
        <v>276</v>
      </c>
      <c r="P74" s="12" t="n">
        <v>9</v>
      </c>
      <c r="Q74" s="12" t="s">
        <v>277</v>
      </c>
      <c r="R74" s="12" t="s">
        <v>73</v>
      </c>
      <c r="S74" s="12" t="s">
        <v>227</v>
      </c>
      <c r="T74" s="12" t="s">
        <v>191</v>
      </c>
      <c r="U74" s="12" t="s">
        <v>939</v>
      </c>
      <c r="V74" s="12" t="s">
        <v>60</v>
      </c>
      <c r="W74" s="12" t="s">
        <v>60</v>
      </c>
      <c r="X74" s="12" t="s">
        <v>555</v>
      </c>
      <c r="Y74" s="12" t="s">
        <v>215</v>
      </c>
      <c r="Z74" s="12" t="s">
        <v>53</v>
      </c>
      <c r="AA74" s="12" t="s">
        <v>216</v>
      </c>
      <c r="AB74" s="18" t="s">
        <v>30</v>
      </c>
      <c r="AC74" s="12" t="s">
        <v>380</v>
      </c>
      <c r="AD74" s="13" t="s">
        <v>940</v>
      </c>
      <c r="AE74" s="12" t="s">
        <v>780</v>
      </c>
      <c r="AF74" s="12" t="n">
        <v>2023</v>
      </c>
      <c r="AG74" s="12" t="s">
        <v>780</v>
      </c>
      <c r="AH74" s="12"/>
      <c r="AI74" s="12"/>
      <c r="AJ74" s="12"/>
      <c r="AK74" s="12"/>
      <c r="AL74" s="12"/>
      <c r="AM74" s="12" t="s">
        <v>780</v>
      </c>
      <c r="AN74" s="12"/>
      <c r="AO74" s="12" t="s">
        <v>351</v>
      </c>
      <c r="AP74" s="13"/>
      <c r="AQ74" s="12" t="s">
        <v>183</v>
      </c>
      <c r="AR74" s="12"/>
      <c r="AS74" s="12"/>
      <c r="AT74" s="12"/>
      <c r="AU74" s="12"/>
      <c r="AV74" s="12"/>
      <c r="AW74" s="12" t="n">
        <v>0</v>
      </c>
      <c r="AX74" s="12" t="n">
        <v>4</v>
      </c>
      <c r="AY74" s="12" t="s">
        <v>338</v>
      </c>
      <c r="AZ74" s="12" t="n">
        <v>2</v>
      </c>
      <c r="BA74" s="12" t="n">
        <v>1</v>
      </c>
      <c r="BB74" s="12" t="s">
        <v>782</v>
      </c>
      <c r="BC74" s="13" t="s">
        <v>941</v>
      </c>
      <c r="BD74" s="12" t="s">
        <v>770</v>
      </c>
      <c r="BE74" s="12" t="s">
        <v>174</v>
      </c>
    </row>
    <row r="75" customFormat="false" ht="35.05" hidden="false" customHeight="false" outlineLevel="0" collapsed="false">
      <c r="A75" s="12" t="s">
        <v>942</v>
      </c>
      <c r="B75" s="13" t="s">
        <v>943</v>
      </c>
      <c r="C75" s="13" t="s">
        <v>944</v>
      </c>
      <c r="D75" s="12" t="s">
        <v>146</v>
      </c>
      <c r="E75" s="12" t="s">
        <v>20</v>
      </c>
      <c r="F75" s="12" t="s">
        <v>38</v>
      </c>
      <c r="G75" s="12" t="s">
        <v>945</v>
      </c>
      <c r="H75" s="12" t="s">
        <v>946</v>
      </c>
      <c r="I75" s="12" t="s">
        <v>617</v>
      </c>
      <c r="J75" s="12" t="s">
        <v>947</v>
      </c>
      <c r="K75" s="12" t="s">
        <v>946</v>
      </c>
      <c r="L75" s="12" t="s">
        <v>20</v>
      </c>
      <c r="M75" s="12" t="s">
        <v>65</v>
      </c>
      <c r="N75" s="12" t="s">
        <v>948</v>
      </c>
      <c r="O75" s="12" t="s">
        <v>152</v>
      </c>
      <c r="P75" s="12" t="n">
        <v>1</v>
      </c>
      <c r="Q75" s="12" t="s">
        <v>153</v>
      </c>
      <c r="R75" s="12" t="s">
        <v>78</v>
      </c>
      <c r="S75" s="12" t="s">
        <v>154</v>
      </c>
      <c r="T75" s="12" t="s">
        <v>155</v>
      </c>
      <c r="U75" s="12" t="s">
        <v>346</v>
      </c>
      <c r="V75" s="12" t="s">
        <v>60</v>
      </c>
      <c r="W75" s="12" t="s">
        <v>60</v>
      </c>
      <c r="X75" s="12" t="s">
        <v>60</v>
      </c>
      <c r="Y75" s="12" t="s">
        <v>215</v>
      </c>
      <c r="Z75" s="12" t="s">
        <v>53</v>
      </c>
      <c r="AA75" s="12" t="s">
        <v>216</v>
      </c>
      <c r="AB75" s="18" t="s">
        <v>30</v>
      </c>
      <c r="AC75" s="12" t="s">
        <v>380</v>
      </c>
      <c r="AD75" s="13" t="s">
        <v>949</v>
      </c>
      <c r="AE75" s="12" t="s">
        <v>950</v>
      </c>
      <c r="AF75" s="12" t="n">
        <v>2019</v>
      </c>
      <c r="AG75" s="12" t="s">
        <v>951</v>
      </c>
      <c r="AH75" s="12"/>
      <c r="AI75" s="12" t="n">
        <v>2019</v>
      </c>
      <c r="AJ75" s="12"/>
      <c r="AK75" s="12"/>
      <c r="AL75" s="12"/>
      <c r="AM75" s="12" t="s">
        <v>950</v>
      </c>
      <c r="AN75" s="12"/>
      <c r="AO75" s="12" t="s">
        <v>361</v>
      </c>
      <c r="AP75" s="13" t="s">
        <v>952</v>
      </c>
      <c r="AQ75" s="12" t="s">
        <v>183</v>
      </c>
      <c r="AR75" s="12"/>
      <c r="AS75" s="12"/>
      <c r="AT75" s="12"/>
      <c r="AU75" s="12"/>
      <c r="AV75" s="12"/>
      <c r="AW75" s="12" t="n">
        <v>0</v>
      </c>
      <c r="AX75" s="12" t="n">
        <v>3</v>
      </c>
      <c r="AY75" s="12" t="s">
        <v>308</v>
      </c>
      <c r="AZ75" s="12" t="n">
        <v>2</v>
      </c>
      <c r="BA75" s="12" t="n">
        <v>0</v>
      </c>
      <c r="BB75" s="12" t="s">
        <v>953</v>
      </c>
      <c r="BC75" s="13"/>
      <c r="BD75" s="12"/>
      <c r="BE75" s="12" t="s">
        <v>174</v>
      </c>
    </row>
    <row r="76" customFormat="false" ht="15" hidden="false" customHeight="false" outlineLevel="0" collapsed="false">
      <c r="A76" s="12" t="s">
        <v>954</v>
      </c>
      <c r="B76" s="13" t="s">
        <v>955</v>
      </c>
      <c r="C76" s="13" t="s">
        <v>956</v>
      </c>
      <c r="D76" s="12" t="s">
        <v>146</v>
      </c>
      <c r="E76" s="12" t="s">
        <v>20</v>
      </c>
      <c r="F76" s="12" t="s">
        <v>46</v>
      </c>
      <c r="G76" s="12" t="s">
        <v>957</v>
      </c>
      <c r="H76" s="12" t="s">
        <v>946</v>
      </c>
      <c r="I76" s="12" t="s">
        <v>617</v>
      </c>
      <c r="J76" s="12" t="s">
        <v>947</v>
      </c>
      <c r="K76" s="12" t="s">
        <v>946</v>
      </c>
      <c r="L76" s="12" t="s">
        <v>20</v>
      </c>
      <c r="M76" s="12" t="s">
        <v>65</v>
      </c>
      <c r="N76" s="12" t="s">
        <v>948</v>
      </c>
      <c r="O76" s="12" t="s">
        <v>276</v>
      </c>
      <c r="P76" s="12" t="n">
        <v>9</v>
      </c>
      <c r="Q76" s="12" t="s">
        <v>277</v>
      </c>
      <c r="R76" s="12" t="s">
        <v>73</v>
      </c>
      <c r="S76" s="12" t="s">
        <v>227</v>
      </c>
      <c r="T76" s="12" t="s">
        <v>191</v>
      </c>
      <c r="U76" s="12" t="s">
        <v>958</v>
      </c>
      <c r="V76" s="12" t="s">
        <v>553</v>
      </c>
      <c r="W76" s="12" t="s">
        <v>554</v>
      </c>
      <c r="X76" s="12" t="s">
        <v>555</v>
      </c>
      <c r="Y76" s="12" t="s">
        <v>959</v>
      </c>
      <c r="Z76" s="12" t="s">
        <v>54</v>
      </c>
      <c r="AA76" s="12" t="s">
        <v>216</v>
      </c>
      <c r="AB76" s="18" t="s">
        <v>30</v>
      </c>
      <c r="AC76" s="12" t="s">
        <v>380</v>
      </c>
      <c r="AD76" s="13" t="s">
        <v>960</v>
      </c>
      <c r="AE76" s="12" t="s">
        <v>961</v>
      </c>
      <c r="AF76" s="12" t="n">
        <v>2021</v>
      </c>
      <c r="AG76" s="12" t="s">
        <v>961</v>
      </c>
      <c r="AH76" s="12"/>
      <c r="AI76" s="12"/>
      <c r="AJ76" s="12"/>
      <c r="AK76" s="12"/>
      <c r="AL76" s="12"/>
      <c r="AM76" s="12" t="s">
        <v>961</v>
      </c>
      <c r="AN76" s="12"/>
      <c r="AO76" s="12" t="s">
        <v>962</v>
      </c>
      <c r="AP76" s="13"/>
      <c r="AQ76" s="12" t="s">
        <v>183</v>
      </c>
      <c r="AR76" s="12"/>
      <c r="AS76" s="12"/>
      <c r="AT76" s="12"/>
      <c r="AU76" s="12"/>
      <c r="AV76" s="12"/>
      <c r="AW76" s="12" t="n">
        <v>0</v>
      </c>
      <c r="AX76" s="12" t="n">
        <v>3</v>
      </c>
      <c r="AY76" s="12" t="s">
        <v>308</v>
      </c>
      <c r="AZ76" s="12" t="n">
        <v>2</v>
      </c>
      <c r="BA76" s="12" t="n">
        <v>0</v>
      </c>
      <c r="BB76" s="12" t="s">
        <v>963</v>
      </c>
      <c r="BC76" s="13"/>
      <c r="BD76" s="12"/>
      <c r="BE76" s="12" t="s">
        <v>174</v>
      </c>
    </row>
    <row r="77" customFormat="false" ht="35.05" hidden="false" customHeight="false" outlineLevel="0" collapsed="false">
      <c r="A77" s="12" t="s">
        <v>964</v>
      </c>
      <c r="B77" s="13" t="s">
        <v>965</v>
      </c>
      <c r="C77" s="13" t="s">
        <v>966</v>
      </c>
      <c r="D77" s="12" t="s">
        <v>146</v>
      </c>
      <c r="E77" s="12" t="s">
        <v>20</v>
      </c>
      <c r="F77" s="12" t="s">
        <v>47</v>
      </c>
      <c r="G77" s="12" t="s">
        <v>967</v>
      </c>
      <c r="H77" s="12" t="s">
        <v>946</v>
      </c>
      <c r="I77" s="12" t="s">
        <v>617</v>
      </c>
      <c r="J77" s="12" t="s">
        <v>947</v>
      </c>
      <c r="K77" s="12" t="s">
        <v>946</v>
      </c>
      <c r="L77" s="12" t="s">
        <v>20</v>
      </c>
      <c r="M77" s="12" t="s">
        <v>65</v>
      </c>
      <c r="N77" s="12" t="s">
        <v>948</v>
      </c>
      <c r="O77" s="12" t="s">
        <v>276</v>
      </c>
      <c r="P77" s="12" t="n">
        <v>9</v>
      </c>
      <c r="Q77" s="12" t="s">
        <v>277</v>
      </c>
      <c r="R77" s="12" t="s">
        <v>73</v>
      </c>
      <c r="S77" s="12" t="s">
        <v>227</v>
      </c>
      <c r="T77" s="12" t="s">
        <v>191</v>
      </c>
      <c r="U77" s="12" t="s">
        <v>156</v>
      </c>
      <c r="V77" s="12" t="s">
        <v>157</v>
      </c>
      <c r="W77" s="12" t="s">
        <v>158</v>
      </c>
      <c r="X77" s="12" t="s">
        <v>159</v>
      </c>
      <c r="Y77" s="12" t="s">
        <v>180</v>
      </c>
      <c r="Z77" s="12" t="s">
        <v>52</v>
      </c>
      <c r="AA77" s="12" t="s">
        <v>161</v>
      </c>
      <c r="AB77" s="14" t="s">
        <v>26</v>
      </c>
      <c r="AC77" s="12" t="s">
        <v>162</v>
      </c>
      <c r="AD77" s="13" t="s">
        <v>162</v>
      </c>
      <c r="AE77" s="12" t="s">
        <v>248</v>
      </c>
      <c r="AF77" s="12"/>
      <c r="AG77" s="12"/>
      <c r="AH77" s="12"/>
      <c r="AI77" s="12"/>
      <c r="AJ77" s="12" t="s">
        <v>164</v>
      </c>
      <c r="AK77" s="12"/>
      <c r="AL77" s="12"/>
      <c r="AM77" s="12" t="s">
        <v>248</v>
      </c>
      <c r="AN77" s="12"/>
      <c r="AO77" s="12" t="s">
        <v>167</v>
      </c>
      <c r="AP77" s="13" t="s">
        <v>968</v>
      </c>
      <c r="AQ77" s="12" t="s">
        <v>230</v>
      </c>
      <c r="AR77" s="12" t="n">
        <v>31760</v>
      </c>
      <c r="AS77" s="12" t="n">
        <v>6460</v>
      </c>
      <c r="AT77" s="12" t="s">
        <v>248</v>
      </c>
      <c r="AU77" s="12"/>
      <c r="AV77" s="12"/>
      <c r="AW77" s="12" t="n">
        <v>0</v>
      </c>
      <c r="AX77" s="12" t="n">
        <v>5</v>
      </c>
      <c r="AY77" s="12" t="s">
        <v>172</v>
      </c>
      <c r="AZ77" s="12" t="n">
        <v>4</v>
      </c>
      <c r="BA77" s="12" t="n">
        <v>3</v>
      </c>
      <c r="BB77" s="12" t="s">
        <v>173</v>
      </c>
      <c r="BC77" s="13"/>
      <c r="BD77" s="12"/>
      <c r="BE77" s="12" t="s">
        <v>174</v>
      </c>
    </row>
    <row r="78" customFormat="false" ht="35.05" hidden="false" customHeight="false" outlineLevel="0" collapsed="false">
      <c r="A78" s="12" t="s">
        <v>969</v>
      </c>
      <c r="B78" s="13" t="s">
        <v>965</v>
      </c>
      <c r="C78" s="13" t="s">
        <v>970</v>
      </c>
      <c r="D78" s="12" t="s">
        <v>146</v>
      </c>
      <c r="E78" s="12" t="s">
        <v>20</v>
      </c>
      <c r="F78" s="12" t="s">
        <v>46</v>
      </c>
      <c r="G78" s="12" t="s">
        <v>971</v>
      </c>
      <c r="H78" s="12" t="s">
        <v>946</v>
      </c>
      <c r="I78" s="12" t="s">
        <v>617</v>
      </c>
      <c r="J78" s="12" t="s">
        <v>947</v>
      </c>
      <c r="K78" s="12" t="s">
        <v>946</v>
      </c>
      <c r="L78" s="12" t="s">
        <v>20</v>
      </c>
      <c r="M78" s="12" t="s">
        <v>65</v>
      </c>
      <c r="N78" s="12" t="s">
        <v>948</v>
      </c>
      <c r="O78" s="12" t="s">
        <v>276</v>
      </c>
      <c r="P78" s="12" t="n">
        <v>9</v>
      </c>
      <c r="Q78" s="12" t="s">
        <v>277</v>
      </c>
      <c r="R78" s="12" t="s">
        <v>73</v>
      </c>
      <c r="S78" s="12" t="s">
        <v>227</v>
      </c>
      <c r="T78" s="12" t="s">
        <v>191</v>
      </c>
      <c r="U78" s="12" t="s">
        <v>156</v>
      </c>
      <c r="V78" s="12" t="s">
        <v>157</v>
      </c>
      <c r="W78" s="12" t="s">
        <v>158</v>
      </c>
      <c r="X78" s="12" t="s">
        <v>159</v>
      </c>
      <c r="Y78" s="12" t="s">
        <v>180</v>
      </c>
      <c r="Z78" s="12" t="s">
        <v>52</v>
      </c>
      <c r="AA78" s="12" t="s">
        <v>161</v>
      </c>
      <c r="AB78" s="14" t="s">
        <v>26</v>
      </c>
      <c r="AC78" s="12" t="s">
        <v>162</v>
      </c>
      <c r="AD78" s="13" t="s">
        <v>162</v>
      </c>
      <c r="AE78" s="12" t="s">
        <v>248</v>
      </c>
      <c r="AF78" s="12"/>
      <c r="AG78" s="12" t="s">
        <v>972</v>
      </c>
      <c r="AH78" s="12"/>
      <c r="AI78" s="12"/>
      <c r="AJ78" s="12" t="s">
        <v>670</v>
      </c>
      <c r="AK78" s="12"/>
      <c r="AL78" s="12"/>
      <c r="AM78" s="12" t="s">
        <v>248</v>
      </c>
      <c r="AN78" s="12" t="n">
        <v>0</v>
      </c>
      <c r="AO78" s="12" t="s">
        <v>167</v>
      </c>
      <c r="AP78" s="13" t="s">
        <v>973</v>
      </c>
      <c r="AQ78" s="12" t="s">
        <v>230</v>
      </c>
      <c r="AR78" s="12" t="n">
        <v>202444</v>
      </c>
      <c r="AS78" s="12" t="n">
        <v>10783</v>
      </c>
      <c r="AT78" s="12" t="s">
        <v>248</v>
      </c>
      <c r="AU78" s="12"/>
      <c r="AV78" s="12"/>
      <c r="AW78" s="12" t="n">
        <v>0</v>
      </c>
      <c r="AX78" s="12" t="n">
        <v>5</v>
      </c>
      <c r="AY78" s="12" t="s">
        <v>172</v>
      </c>
      <c r="AZ78" s="12" t="n">
        <v>6</v>
      </c>
      <c r="BA78" s="12" t="n">
        <v>6</v>
      </c>
      <c r="BB78" s="12" t="s">
        <v>173</v>
      </c>
      <c r="BC78" s="13"/>
      <c r="BD78" s="12"/>
      <c r="BE78" s="12" t="s">
        <v>174</v>
      </c>
    </row>
    <row r="79" customFormat="false" ht="23.85" hidden="false" customHeight="false" outlineLevel="0" collapsed="false">
      <c r="A79" s="12" t="s">
        <v>974</v>
      </c>
      <c r="B79" s="13" t="s">
        <v>975</v>
      </c>
      <c r="C79" s="13" t="s">
        <v>976</v>
      </c>
      <c r="D79" s="12" t="s">
        <v>146</v>
      </c>
      <c r="E79" s="12" t="s">
        <v>20</v>
      </c>
      <c r="F79" s="12" t="s">
        <v>38</v>
      </c>
      <c r="G79" s="12" t="s">
        <v>977</v>
      </c>
      <c r="H79" s="12" t="s">
        <v>946</v>
      </c>
      <c r="I79" s="12" t="s">
        <v>617</v>
      </c>
      <c r="J79" s="12" t="s">
        <v>947</v>
      </c>
      <c r="K79" s="12" t="s">
        <v>946</v>
      </c>
      <c r="L79" s="12" t="s">
        <v>20</v>
      </c>
      <c r="M79" s="12" t="s">
        <v>65</v>
      </c>
      <c r="N79" s="12" t="s">
        <v>948</v>
      </c>
      <c r="O79" s="12" t="s">
        <v>226</v>
      </c>
      <c r="P79" s="12" t="n">
        <v>1</v>
      </c>
      <c r="Q79" s="12" t="s">
        <v>153</v>
      </c>
      <c r="R79" s="12" t="s">
        <v>73</v>
      </c>
      <c r="S79" s="12" t="s">
        <v>227</v>
      </c>
      <c r="T79" s="12" t="s">
        <v>191</v>
      </c>
      <c r="U79" s="12" t="s">
        <v>156</v>
      </c>
      <c r="V79" s="12" t="s">
        <v>157</v>
      </c>
      <c r="W79" s="12" t="s">
        <v>158</v>
      </c>
      <c r="X79" s="12" t="s">
        <v>159</v>
      </c>
      <c r="Y79" s="12" t="s">
        <v>180</v>
      </c>
      <c r="Z79" s="12" t="s">
        <v>52</v>
      </c>
      <c r="AA79" s="12" t="s">
        <v>161</v>
      </c>
      <c r="AB79" s="14" t="s">
        <v>26</v>
      </c>
      <c r="AC79" s="12" t="s">
        <v>162</v>
      </c>
      <c r="AD79" s="13" t="s">
        <v>278</v>
      </c>
      <c r="AE79" s="12" t="s">
        <v>248</v>
      </c>
      <c r="AF79" s="12"/>
      <c r="AG79" s="12"/>
      <c r="AH79" s="12"/>
      <c r="AI79" s="12"/>
      <c r="AJ79" s="12" t="s">
        <v>978</v>
      </c>
      <c r="AK79" s="12"/>
      <c r="AL79" s="12"/>
      <c r="AM79" s="12" t="s">
        <v>248</v>
      </c>
      <c r="AN79" s="12"/>
      <c r="AO79" s="12" t="s">
        <v>167</v>
      </c>
      <c r="AP79" s="13" t="s">
        <v>979</v>
      </c>
      <c r="AQ79" s="12" t="s">
        <v>197</v>
      </c>
      <c r="AR79" s="12" t="n">
        <v>1005</v>
      </c>
      <c r="AS79" s="12" t="n">
        <v>73</v>
      </c>
      <c r="AT79" s="12" t="s">
        <v>248</v>
      </c>
      <c r="AU79" s="12"/>
      <c r="AV79" s="12"/>
      <c r="AW79" s="12" t="n">
        <v>0</v>
      </c>
      <c r="AX79" s="12" t="n">
        <v>5</v>
      </c>
      <c r="AY79" s="12" t="s">
        <v>172</v>
      </c>
      <c r="AZ79" s="12" t="n">
        <v>4</v>
      </c>
      <c r="BA79" s="12" t="n">
        <v>4</v>
      </c>
      <c r="BB79" s="12" t="s">
        <v>173</v>
      </c>
      <c r="BC79" s="13" t="s">
        <v>980</v>
      </c>
      <c r="BD79" s="12"/>
      <c r="BE79" s="12" t="s">
        <v>174</v>
      </c>
    </row>
    <row r="80" customFormat="false" ht="23.85" hidden="false" customHeight="false" outlineLevel="0" collapsed="false">
      <c r="A80" s="12" t="s">
        <v>981</v>
      </c>
      <c r="B80" s="13" t="s">
        <v>982</v>
      </c>
      <c r="C80" s="13" t="s">
        <v>983</v>
      </c>
      <c r="D80" s="12" t="s">
        <v>146</v>
      </c>
      <c r="E80" s="12" t="s">
        <v>20</v>
      </c>
      <c r="F80" s="12" t="s">
        <v>38</v>
      </c>
      <c r="G80" s="12" t="s">
        <v>984</v>
      </c>
      <c r="H80" s="12" t="s">
        <v>946</v>
      </c>
      <c r="I80" s="12" t="s">
        <v>617</v>
      </c>
      <c r="J80" s="12" t="s">
        <v>947</v>
      </c>
      <c r="K80" s="12" t="s">
        <v>946</v>
      </c>
      <c r="L80" s="12" t="s">
        <v>20</v>
      </c>
      <c r="M80" s="12" t="s">
        <v>65</v>
      </c>
      <c r="N80" s="12" t="s">
        <v>948</v>
      </c>
      <c r="O80" s="12" t="s">
        <v>368</v>
      </c>
      <c r="P80" s="12" t="n">
        <v>7</v>
      </c>
      <c r="Q80" s="12" t="s">
        <v>369</v>
      </c>
      <c r="R80" s="12" t="s">
        <v>73</v>
      </c>
      <c r="S80" s="12" t="s">
        <v>227</v>
      </c>
      <c r="T80" s="12" t="s">
        <v>191</v>
      </c>
      <c r="U80" s="12" t="s">
        <v>985</v>
      </c>
      <c r="V80" s="12" t="s">
        <v>553</v>
      </c>
      <c r="W80" s="12" t="s">
        <v>554</v>
      </c>
      <c r="X80" s="12" t="s">
        <v>700</v>
      </c>
      <c r="Y80" s="12" t="s">
        <v>986</v>
      </c>
      <c r="Z80" s="12" t="s">
        <v>54</v>
      </c>
      <c r="AA80" s="12" t="s">
        <v>216</v>
      </c>
      <c r="AB80" s="14" t="s">
        <v>26</v>
      </c>
      <c r="AC80" s="12" t="s">
        <v>162</v>
      </c>
      <c r="AD80" s="13" t="s">
        <v>987</v>
      </c>
      <c r="AE80" s="12" t="s">
        <v>988</v>
      </c>
      <c r="AF80" s="12" t="n">
        <v>2021</v>
      </c>
      <c r="AG80" s="12"/>
      <c r="AH80" s="12"/>
      <c r="AI80" s="12"/>
      <c r="AJ80" s="12" t="s">
        <v>989</v>
      </c>
      <c r="AK80" s="12"/>
      <c r="AL80" s="12"/>
      <c r="AM80" s="12" t="s">
        <v>988</v>
      </c>
      <c r="AN80" s="12"/>
      <c r="AO80" s="12" t="s">
        <v>962</v>
      </c>
      <c r="AP80" s="13"/>
      <c r="AQ80" s="12" t="s">
        <v>183</v>
      </c>
      <c r="AR80" s="12"/>
      <c r="AS80" s="12"/>
      <c r="AT80" s="12"/>
      <c r="AU80" s="12" t="s">
        <v>990</v>
      </c>
      <c r="AV80" s="12" t="s">
        <v>363</v>
      </c>
      <c r="AW80" s="12" t="n">
        <v>2</v>
      </c>
      <c r="AX80" s="12" t="n">
        <v>4</v>
      </c>
      <c r="AY80" s="12" t="s">
        <v>338</v>
      </c>
      <c r="AZ80" s="12" t="n">
        <v>6</v>
      </c>
      <c r="BA80" s="12" t="n">
        <v>2</v>
      </c>
      <c r="BB80" s="12" t="s">
        <v>991</v>
      </c>
      <c r="BC80" s="13" t="s">
        <v>992</v>
      </c>
      <c r="BD80" s="12"/>
      <c r="BE80" s="12" t="s">
        <v>174</v>
      </c>
    </row>
    <row r="81" customFormat="false" ht="23.85" hidden="false" customHeight="false" outlineLevel="0" collapsed="false">
      <c r="A81" s="12" t="s">
        <v>993</v>
      </c>
      <c r="B81" s="13" t="s">
        <v>994</v>
      </c>
      <c r="C81" s="13" t="s">
        <v>995</v>
      </c>
      <c r="D81" s="12" t="s">
        <v>146</v>
      </c>
      <c r="E81" s="12" t="s">
        <v>20</v>
      </c>
      <c r="F81" s="12" t="s">
        <v>41</v>
      </c>
      <c r="G81" s="12" t="s">
        <v>996</v>
      </c>
      <c r="H81" s="12" t="s">
        <v>946</v>
      </c>
      <c r="I81" s="12" t="s">
        <v>617</v>
      </c>
      <c r="J81" s="12" t="s">
        <v>947</v>
      </c>
      <c r="K81" s="12" t="s">
        <v>946</v>
      </c>
      <c r="L81" s="12" t="s">
        <v>20</v>
      </c>
      <c r="M81" s="12" t="s">
        <v>65</v>
      </c>
      <c r="N81" s="12" t="s">
        <v>948</v>
      </c>
      <c r="O81" s="12" t="s">
        <v>234</v>
      </c>
      <c r="P81" s="12" t="n">
        <v>1</v>
      </c>
      <c r="Q81" s="12" t="s">
        <v>153</v>
      </c>
      <c r="R81" s="12" t="s">
        <v>82</v>
      </c>
      <c r="S81" s="12" t="s">
        <v>507</v>
      </c>
      <c r="T81" s="12" t="s">
        <v>179</v>
      </c>
      <c r="U81" s="12" t="s">
        <v>60</v>
      </c>
      <c r="V81" s="12" t="s">
        <v>60</v>
      </c>
      <c r="W81" s="12" t="s">
        <v>60</v>
      </c>
      <c r="X81" s="12" t="s">
        <v>60</v>
      </c>
      <c r="Y81" s="12" t="s">
        <v>997</v>
      </c>
      <c r="Z81" s="12" t="s">
        <v>54</v>
      </c>
      <c r="AA81" s="12" t="s">
        <v>216</v>
      </c>
      <c r="AB81" s="16" t="s">
        <v>28</v>
      </c>
      <c r="AC81" s="12" t="s">
        <v>262</v>
      </c>
      <c r="AD81" s="13" t="s">
        <v>998</v>
      </c>
      <c r="AE81" s="12" t="s">
        <v>511</v>
      </c>
      <c r="AF81" s="12" t="n">
        <v>2025</v>
      </c>
      <c r="AG81" s="12" t="s">
        <v>999</v>
      </c>
      <c r="AH81" s="12"/>
      <c r="AI81" s="12"/>
      <c r="AJ81" s="12"/>
      <c r="AK81" s="12"/>
      <c r="AL81" s="12"/>
      <c r="AM81" s="12" t="s">
        <v>511</v>
      </c>
      <c r="AN81" s="12"/>
      <c r="AO81" s="12" t="s">
        <v>513</v>
      </c>
      <c r="AP81" s="13" t="s">
        <v>1000</v>
      </c>
      <c r="AQ81" s="12" t="s">
        <v>183</v>
      </c>
      <c r="AR81" s="12"/>
      <c r="AS81" s="12"/>
      <c r="AT81" s="12"/>
      <c r="AU81" s="12" t="s">
        <v>1001</v>
      </c>
      <c r="AV81" s="12" t="s">
        <v>1002</v>
      </c>
      <c r="AW81" s="12" t="n">
        <v>2</v>
      </c>
      <c r="AX81" s="12" t="n">
        <v>3</v>
      </c>
      <c r="AY81" s="12" t="s">
        <v>308</v>
      </c>
      <c r="AZ81" s="12" t="n">
        <v>7</v>
      </c>
      <c r="BA81" s="12" t="n">
        <v>0</v>
      </c>
      <c r="BB81" s="12" t="s">
        <v>1003</v>
      </c>
      <c r="BC81" s="13"/>
      <c r="BD81" s="12"/>
      <c r="BE81" s="12" t="s">
        <v>174</v>
      </c>
    </row>
    <row r="82" customFormat="false" ht="23.85" hidden="false" customHeight="false" outlineLevel="0" collapsed="false">
      <c r="A82" s="12" t="s">
        <v>1004</v>
      </c>
      <c r="B82" s="13" t="s">
        <v>1005</v>
      </c>
      <c r="C82" s="13" t="s">
        <v>1006</v>
      </c>
      <c r="D82" s="12" t="s">
        <v>146</v>
      </c>
      <c r="E82" s="12" t="s">
        <v>20</v>
      </c>
      <c r="F82" s="12" t="s">
        <v>38</v>
      </c>
      <c r="G82" s="12" t="s">
        <v>1007</v>
      </c>
      <c r="H82" s="12" t="s">
        <v>1008</v>
      </c>
      <c r="I82" s="12" t="s">
        <v>617</v>
      </c>
      <c r="J82" s="12" t="s">
        <v>1009</v>
      </c>
      <c r="K82" s="12" t="s">
        <v>1008</v>
      </c>
      <c r="L82" s="12" t="s">
        <v>20</v>
      </c>
      <c r="M82" s="12" t="s">
        <v>67</v>
      </c>
      <c r="N82" s="12" t="s">
        <v>1010</v>
      </c>
      <c r="O82" s="12" t="s">
        <v>276</v>
      </c>
      <c r="P82" s="12" t="n">
        <v>9</v>
      </c>
      <c r="Q82" s="12" t="s">
        <v>277</v>
      </c>
      <c r="R82" s="12" t="s">
        <v>73</v>
      </c>
      <c r="S82" s="12" t="s">
        <v>227</v>
      </c>
      <c r="T82" s="12" t="s">
        <v>191</v>
      </c>
      <c r="U82" s="12" t="s">
        <v>1011</v>
      </c>
      <c r="V82" s="12" t="s">
        <v>1011</v>
      </c>
      <c r="W82" s="12" t="s">
        <v>1012</v>
      </c>
      <c r="X82" s="12" t="s">
        <v>555</v>
      </c>
      <c r="Y82" s="12" t="s">
        <v>1013</v>
      </c>
      <c r="Z82" s="12" t="s">
        <v>54</v>
      </c>
      <c r="AA82" s="12" t="s">
        <v>216</v>
      </c>
      <c r="AB82" s="18" t="s">
        <v>30</v>
      </c>
      <c r="AC82" s="12" t="s">
        <v>380</v>
      </c>
      <c r="AD82" s="13" t="s">
        <v>1014</v>
      </c>
      <c r="AE82" s="12" t="s">
        <v>1015</v>
      </c>
      <c r="AF82" s="12" t="n">
        <v>2023</v>
      </c>
      <c r="AG82" s="12" t="s">
        <v>1015</v>
      </c>
      <c r="AH82" s="12"/>
      <c r="AI82" s="12"/>
      <c r="AJ82" s="12"/>
      <c r="AK82" s="12"/>
      <c r="AL82" s="12"/>
      <c r="AM82" s="12" t="s">
        <v>1015</v>
      </c>
      <c r="AN82" s="12"/>
      <c r="AO82" s="12" t="s">
        <v>1016</v>
      </c>
      <c r="AP82" s="13"/>
      <c r="AQ82" s="12" t="s">
        <v>183</v>
      </c>
      <c r="AR82" s="12"/>
      <c r="AS82" s="12"/>
      <c r="AT82" s="12"/>
      <c r="AU82" s="12"/>
      <c r="AV82" s="12"/>
      <c r="AW82" s="12" t="n">
        <v>0</v>
      </c>
      <c r="AX82" s="12" t="n">
        <v>3</v>
      </c>
      <c r="AY82" s="12" t="s">
        <v>308</v>
      </c>
      <c r="AZ82" s="12" t="n">
        <v>1</v>
      </c>
      <c r="BA82" s="12" t="n">
        <v>0</v>
      </c>
      <c r="BB82" s="12" t="s">
        <v>1017</v>
      </c>
      <c r="BC82" s="13"/>
      <c r="BD82" s="12"/>
      <c r="BE82" s="12" t="s">
        <v>174</v>
      </c>
    </row>
    <row r="83" customFormat="false" ht="23.85" hidden="false" customHeight="false" outlineLevel="0" collapsed="false">
      <c r="A83" s="12" t="s">
        <v>1018</v>
      </c>
      <c r="B83" s="13" t="s">
        <v>1019</v>
      </c>
      <c r="C83" s="13" t="s">
        <v>1020</v>
      </c>
      <c r="D83" s="12" t="s">
        <v>146</v>
      </c>
      <c r="E83" s="12" t="s">
        <v>20</v>
      </c>
      <c r="F83" s="12" t="s">
        <v>46</v>
      </c>
      <c r="G83" s="12" t="s">
        <v>1021</v>
      </c>
      <c r="H83" s="12" t="s">
        <v>1008</v>
      </c>
      <c r="I83" s="12" t="s">
        <v>617</v>
      </c>
      <c r="J83" s="12" t="s">
        <v>1009</v>
      </c>
      <c r="K83" s="12" t="s">
        <v>1008</v>
      </c>
      <c r="L83" s="12" t="s">
        <v>20</v>
      </c>
      <c r="M83" s="12" t="s">
        <v>67</v>
      </c>
      <c r="N83" s="12" t="s">
        <v>1010</v>
      </c>
      <c r="O83" s="12" t="s">
        <v>276</v>
      </c>
      <c r="P83" s="12" t="n">
        <v>9</v>
      </c>
      <c r="Q83" s="12" t="s">
        <v>277</v>
      </c>
      <c r="R83" s="12" t="s">
        <v>73</v>
      </c>
      <c r="S83" s="12" t="s">
        <v>227</v>
      </c>
      <c r="T83" s="12" t="s">
        <v>191</v>
      </c>
      <c r="U83" s="12" t="s">
        <v>156</v>
      </c>
      <c r="V83" s="12" t="s">
        <v>157</v>
      </c>
      <c r="W83" s="12" t="s">
        <v>158</v>
      </c>
      <c r="X83" s="12" t="s">
        <v>159</v>
      </c>
      <c r="Y83" s="12" t="s">
        <v>180</v>
      </c>
      <c r="Z83" s="12" t="s">
        <v>52</v>
      </c>
      <c r="AA83" s="12" t="s">
        <v>161</v>
      </c>
      <c r="AB83" s="14" t="s">
        <v>26</v>
      </c>
      <c r="AC83" s="12" t="s">
        <v>162</v>
      </c>
      <c r="AD83" s="13" t="s">
        <v>162</v>
      </c>
      <c r="AE83" s="12" t="s">
        <v>248</v>
      </c>
      <c r="AF83" s="12" t="n">
        <v>2022</v>
      </c>
      <c r="AG83" s="12"/>
      <c r="AH83" s="12"/>
      <c r="AI83" s="12"/>
      <c r="AJ83" s="12" t="s">
        <v>1022</v>
      </c>
      <c r="AK83" s="12"/>
      <c r="AL83" s="12"/>
      <c r="AM83" s="12" t="s">
        <v>248</v>
      </c>
      <c r="AN83" s="12"/>
      <c r="AO83" s="12" t="s">
        <v>167</v>
      </c>
      <c r="AP83" s="13" t="s">
        <v>1023</v>
      </c>
      <c r="AQ83" s="12" t="s">
        <v>230</v>
      </c>
      <c r="AR83" s="12" t="n">
        <v>79614</v>
      </c>
      <c r="AS83" s="12" t="n">
        <v>59</v>
      </c>
      <c r="AT83" s="12" t="s">
        <v>248</v>
      </c>
      <c r="AU83" s="12"/>
      <c r="AV83" s="12"/>
      <c r="AW83" s="12" t="n">
        <v>0</v>
      </c>
      <c r="AX83" s="12" t="n">
        <v>5</v>
      </c>
      <c r="AY83" s="12" t="s">
        <v>172</v>
      </c>
      <c r="AZ83" s="12" t="n">
        <v>5</v>
      </c>
      <c r="BA83" s="12" t="n">
        <v>4</v>
      </c>
      <c r="BB83" s="12" t="s">
        <v>173</v>
      </c>
      <c r="BC83" s="13"/>
      <c r="BD83" s="12"/>
      <c r="BE83" s="12" t="s">
        <v>174</v>
      </c>
    </row>
    <row r="84" customFormat="false" ht="23.85" hidden="false" customHeight="false" outlineLevel="0" collapsed="false">
      <c r="A84" s="12" t="s">
        <v>1024</v>
      </c>
      <c r="B84" s="13" t="s">
        <v>1025</v>
      </c>
      <c r="C84" s="13" t="s">
        <v>1026</v>
      </c>
      <c r="D84" s="12" t="s">
        <v>146</v>
      </c>
      <c r="E84" s="12" t="s">
        <v>20</v>
      </c>
      <c r="F84" s="12" t="s">
        <v>38</v>
      </c>
      <c r="G84" s="12" t="s">
        <v>1027</v>
      </c>
      <c r="H84" s="12" t="s">
        <v>1028</v>
      </c>
      <c r="I84" s="12" t="s">
        <v>617</v>
      </c>
      <c r="J84" s="12" t="s">
        <v>1029</v>
      </c>
      <c r="K84" s="12" t="s">
        <v>1028</v>
      </c>
      <c r="L84" s="12" t="s">
        <v>20</v>
      </c>
      <c r="M84" s="12" t="s">
        <v>67</v>
      </c>
      <c r="N84" s="12" t="s">
        <v>1030</v>
      </c>
      <c r="O84" s="12" t="s">
        <v>304</v>
      </c>
      <c r="P84" s="12" t="n">
        <v>1</v>
      </c>
      <c r="Q84" s="12" t="s">
        <v>153</v>
      </c>
      <c r="R84" s="12" t="s">
        <v>80</v>
      </c>
      <c r="S84" s="12" t="s">
        <v>246</v>
      </c>
      <c r="T84" s="12" t="s">
        <v>155</v>
      </c>
      <c r="U84" s="12" t="s">
        <v>346</v>
      </c>
      <c r="V84" s="12" t="s">
        <v>60</v>
      </c>
      <c r="W84" s="12" t="s">
        <v>60</v>
      </c>
      <c r="X84" s="12" t="s">
        <v>60</v>
      </c>
      <c r="Y84" s="12" t="s">
        <v>1031</v>
      </c>
      <c r="Z84" s="12" t="s">
        <v>52</v>
      </c>
      <c r="AA84" s="12" t="s">
        <v>216</v>
      </c>
      <c r="AB84" s="16" t="s">
        <v>28</v>
      </c>
      <c r="AC84" s="12" t="s">
        <v>262</v>
      </c>
      <c r="AD84" s="13" t="s">
        <v>911</v>
      </c>
      <c r="AE84" s="12" t="s">
        <v>1032</v>
      </c>
      <c r="AF84" s="12" t="n">
        <v>2025</v>
      </c>
      <c r="AG84" s="12" t="s">
        <v>1033</v>
      </c>
      <c r="AH84" s="12"/>
      <c r="AI84" s="12"/>
      <c r="AJ84" s="12"/>
      <c r="AK84" s="12"/>
      <c r="AL84" s="12"/>
      <c r="AM84" s="12" t="s">
        <v>1032</v>
      </c>
      <c r="AN84" s="12"/>
      <c r="AO84" s="12" t="s">
        <v>1034</v>
      </c>
      <c r="AP84" s="13"/>
      <c r="AQ84" s="12" t="s">
        <v>183</v>
      </c>
      <c r="AR84" s="12"/>
      <c r="AS84" s="12"/>
      <c r="AT84" s="12"/>
      <c r="AU84" s="12"/>
      <c r="AV84" s="12"/>
      <c r="AW84" s="12" t="n">
        <v>0</v>
      </c>
      <c r="AX84" s="12" t="n">
        <v>3</v>
      </c>
      <c r="AY84" s="12" t="s">
        <v>308</v>
      </c>
      <c r="AZ84" s="12" t="n">
        <v>1</v>
      </c>
      <c r="BA84" s="12" t="n">
        <v>0</v>
      </c>
      <c r="BB84" s="12" t="s">
        <v>1035</v>
      </c>
      <c r="BC84" s="13"/>
      <c r="BD84" s="12"/>
      <c r="BE84" s="12" t="s">
        <v>174</v>
      </c>
    </row>
    <row r="85" customFormat="false" ht="23.85" hidden="false" customHeight="false" outlineLevel="0" collapsed="false">
      <c r="A85" s="12" t="s">
        <v>1036</v>
      </c>
      <c r="B85" s="13" t="s">
        <v>1037</v>
      </c>
      <c r="C85" s="13" t="s">
        <v>1038</v>
      </c>
      <c r="D85" s="12" t="s">
        <v>146</v>
      </c>
      <c r="E85" s="12" t="s">
        <v>20</v>
      </c>
      <c r="F85" s="12" t="s">
        <v>40</v>
      </c>
      <c r="G85" s="12" t="s">
        <v>1039</v>
      </c>
      <c r="H85" s="12" t="s">
        <v>1040</v>
      </c>
      <c r="I85" s="12" t="s">
        <v>617</v>
      </c>
      <c r="J85" s="12" t="s">
        <v>1041</v>
      </c>
      <c r="K85" s="12" t="s">
        <v>1040</v>
      </c>
      <c r="L85" s="12" t="s">
        <v>20</v>
      </c>
      <c r="M85" s="12" t="s">
        <v>64</v>
      </c>
      <c r="N85" s="12" t="s">
        <v>1042</v>
      </c>
      <c r="O85" s="12" t="s">
        <v>152</v>
      </c>
      <c r="P85" s="12" t="n">
        <v>1</v>
      </c>
      <c r="Q85" s="12" t="s">
        <v>153</v>
      </c>
      <c r="R85" s="12" t="s">
        <v>78</v>
      </c>
      <c r="S85" s="12" t="s">
        <v>154</v>
      </c>
      <c r="T85" s="12" t="s">
        <v>155</v>
      </c>
      <c r="U85" s="12" t="s">
        <v>923</v>
      </c>
      <c r="V85" s="12" t="s">
        <v>60</v>
      </c>
      <c r="W85" s="12" t="s">
        <v>60</v>
      </c>
      <c r="X85" s="12" t="s">
        <v>60</v>
      </c>
      <c r="Y85" s="12" t="s">
        <v>215</v>
      </c>
      <c r="Z85" s="12" t="s">
        <v>60</v>
      </c>
      <c r="AA85" s="12" t="s">
        <v>216</v>
      </c>
      <c r="AB85" s="15" t="s">
        <v>27</v>
      </c>
      <c r="AC85" s="12" t="s">
        <v>205</v>
      </c>
      <c r="AD85" s="13" t="s">
        <v>1043</v>
      </c>
      <c r="AE85" s="12" t="s">
        <v>1044</v>
      </c>
      <c r="AF85" s="12" t="n">
        <v>2023</v>
      </c>
      <c r="AG85" s="12" t="s">
        <v>1045</v>
      </c>
      <c r="AH85" s="12"/>
      <c r="AI85" s="12"/>
      <c r="AJ85" s="12"/>
      <c r="AK85" s="12"/>
      <c r="AL85" s="12"/>
      <c r="AM85" s="12" t="s">
        <v>1044</v>
      </c>
      <c r="AN85" s="12"/>
      <c r="AO85" s="12" t="s">
        <v>793</v>
      </c>
      <c r="AP85" s="13"/>
      <c r="AQ85" s="12" t="s">
        <v>183</v>
      </c>
      <c r="AR85" s="12"/>
      <c r="AS85" s="12"/>
      <c r="AT85" s="12"/>
      <c r="AU85" s="12"/>
      <c r="AV85" s="12"/>
      <c r="AW85" s="12" t="n">
        <v>0</v>
      </c>
      <c r="AX85" s="12" t="n">
        <v>4</v>
      </c>
      <c r="AY85" s="12" t="s">
        <v>338</v>
      </c>
      <c r="AZ85" s="12" t="n">
        <v>2</v>
      </c>
      <c r="BA85" s="12" t="n">
        <v>1</v>
      </c>
      <c r="BB85" s="12" t="s">
        <v>1046</v>
      </c>
      <c r="BC85" s="13" t="s">
        <v>1047</v>
      </c>
      <c r="BD85" s="12"/>
      <c r="BE85" s="12" t="s">
        <v>174</v>
      </c>
    </row>
    <row r="86" customFormat="false" ht="23.85" hidden="false" customHeight="false" outlineLevel="0" collapsed="false">
      <c r="A86" s="12" t="s">
        <v>1048</v>
      </c>
      <c r="B86" s="13" t="s">
        <v>1049</v>
      </c>
      <c r="C86" s="13" t="s">
        <v>1050</v>
      </c>
      <c r="D86" s="12" t="s">
        <v>146</v>
      </c>
      <c r="E86" s="12" t="s">
        <v>20</v>
      </c>
      <c r="F86" s="12" t="s">
        <v>38</v>
      </c>
      <c r="G86" s="12" t="s">
        <v>1051</v>
      </c>
      <c r="H86" s="12" t="s">
        <v>1040</v>
      </c>
      <c r="I86" s="12" t="s">
        <v>617</v>
      </c>
      <c r="J86" s="12" t="s">
        <v>1041</v>
      </c>
      <c r="K86" s="12" t="s">
        <v>1040</v>
      </c>
      <c r="L86" s="12" t="s">
        <v>20</v>
      </c>
      <c r="M86" s="12" t="s">
        <v>64</v>
      </c>
      <c r="N86" s="12" t="s">
        <v>1042</v>
      </c>
      <c r="O86" s="12" t="s">
        <v>285</v>
      </c>
      <c r="P86" s="12" t="n">
        <v>10</v>
      </c>
      <c r="Q86" s="12" t="s">
        <v>286</v>
      </c>
      <c r="R86" s="12" t="s">
        <v>83</v>
      </c>
      <c r="S86" s="12" t="s">
        <v>287</v>
      </c>
      <c r="T86" s="12" t="s">
        <v>155</v>
      </c>
      <c r="U86" s="12" t="s">
        <v>346</v>
      </c>
      <c r="V86" s="12" t="s">
        <v>60</v>
      </c>
      <c r="W86" s="12" t="s">
        <v>60</v>
      </c>
      <c r="X86" s="12" t="s">
        <v>60</v>
      </c>
      <c r="Y86" s="12" t="s">
        <v>1052</v>
      </c>
      <c r="Z86" s="12" t="s">
        <v>58</v>
      </c>
      <c r="AA86" s="12" t="s">
        <v>216</v>
      </c>
      <c r="AB86" s="15" t="s">
        <v>27</v>
      </c>
      <c r="AC86" s="12" t="s">
        <v>205</v>
      </c>
      <c r="AD86" s="13" t="s">
        <v>1053</v>
      </c>
      <c r="AE86" s="12" t="s">
        <v>464</v>
      </c>
      <c r="AF86" s="12" t="n">
        <v>2024</v>
      </c>
      <c r="AG86" s="12"/>
      <c r="AH86" s="12"/>
      <c r="AI86" s="12"/>
      <c r="AJ86" s="12" t="s">
        <v>604</v>
      </c>
      <c r="AK86" s="12"/>
      <c r="AL86" s="12"/>
      <c r="AM86" s="12" t="s">
        <v>464</v>
      </c>
      <c r="AN86" s="12"/>
      <c r="AO86" s="12" t="s">
        <v>307</v>
      </c>
      <c r="AP86" s="13" t="s">
        <v>1054</v>
      </c>
      <c r="AQ86" s="12" t="s">
        <v>183</v>
      </c>
      <c r="AR86" s="12"/>
      <c r="AS86" s="12"/>
      <c r="AT86" s="12"/>
      <c r="AU86" s="12"/>
      <c r="AV86" s="12"/>
      <c r="AW86" s="12" t="n">
        <v>0</v>
      </c>
      <c r="AX86" s="12" t="n">
        <v>2</v>
      </c>
      <c r="AY86" s="12" t="s">
        <v>560</v>
      </c>
      <c r="AZ86" s="12" t="n">
        <v>1</v>
      </c>
      <c r="BA86" s="12" t="n">
        <v>0</v>
      </c>
      <c r="BB86" s="12" t="s">
        <v>1055</v>
      </c>
      <c r="BC86" s="13"/>
      <c r="BD86" s="12"/>
      <c r="BE86" s="12" t="s">
        <v>174</v>
      </c>
    </row>
    <row r="87" customFormat="false" ht="23.85" hidden="false" customHeight="false" outlineLevel="0" collapsed="false">
      <c r="A87" s="12" t="s">
        <v>1056</v>
      </c>
      <c r="B87" s="13" t="s">
        <v>1057</v>
      </c>
      <c r="C87" s="13" t="s">
        <v>1058</v>
      </c>
      <c r="D87" s="12" t="s">
        <v>146</v>
      </c>
      <c r="E87" s="12" t="s">
        <v>20</v>
      </c>
      <c r="F87" s="12" t="s">
        <v>38</v>
      </c>
      <c r="G87" s="12" t="s">
        <v>1059</v>
      </c>
      <c r="H87" s="12" t="s">
        <v>1040</v>
      </c>
      <c r="I87" s="12" t="s">
        <v>617</v>
      </c>
      <c r="J87" s="12" t="s">
        <v>1041</v>
      </c>
      <c r="K87" s="12" t="s">
        <v>1040</v>
      </c>
      <c r="L87" s="12" t="s">
        <v>20</v>
      </c>
      <c r="M87" s="12" t="s">
        <v>64</v>
      </c>
      <c r="N87" s="12" t="s">
        <v>1042</v>
      </c>
      <c r="O87" s="12" t="s">
        <v>316</v>
      </c>
      <c r="P87" s="12" t="n">
        <v>4</v>
      </c>
      <c r="Q87" s="12" t="s">
        <v>189</v>
      </c>
      <c r="R87" s="12" t="s">
        <v>81</v>
      </c>
      <c r="S87" s="12" t="s">
        <v>317</v>
      </c>
      <c r="T87" s="12" t="s">
        <v>179</v>
      </c>
      <c r="U87" s="12" t="s">
        <v>346</v>
      </c>
      <c r="V87" s="12" t="s">
        <v>60</v>
      </c>
      <c r="W87" s="12" t="s">
        <v>60</v>
      </c>
      <c r="X87" s="12" t="s">
        <v>60</v>
      </c>
      <c r="Y87" s="12" t="s">
        <v>215</v>
      </c>
      <c r="Z87" s="12" t="s">
        <v>60</v>
      </c>
      <c r="AA87" s="12" t="s">
        <v>216</v>
      </c>
      <c r="AB87" s="16" t="s">
        <v>28</v>
      </c>
      <c r="AC87" s="12" t="s">
        <v>262</v>
      </c>
      <c r="AD87" s="13" t="s">
        <v>1060</v>
      </c>
      <c r="AE87" s="12" t="s">
        <v>1061</v>
      </c>
      <c r="AF87" s="12" t="n">
        <v>2026</v>
      </c>
      <c r="AG87" s="12" t="s">
        <v>757</v>
      </c>
      <c r="AH87" s="12"/>
      <c r="AI87" s="12"/>
      <c r="AJ87" s="12"/>
      <c r="AK87" s="12"/>
      <c r="AL87" s="12"/>
      <c r="AM87" s="12" t="s">
        <v>1061</v>
      </c>
      <c r="AN87" s="12"/>
      <c r="AO87" s="12" t="s">
        <v>758</v>
      </c>
      <c r="AP87" s="13"/>
      <c r="AQ87" s="12" t="s">
        <v>183</v>
      </c>
      <c r="AR87" s="12"/>
      <c r="AS87" s="12"/>
      <c r="AT87" s="12"/>
      <c r="AU87" s="12"/>
      <c r="AV87" s="12"/>
      <c r="AW87" s="12" t="n">
        <v>0</v>
      </c>
      <c r="AX87" s="12" t="n">
        <v>2</v>
      </c>
      <c r="AY87" s="12" t="s">
        <v>560</v>
      </c>
      <c r="AZ87" s="12" t="n">
        <v>1</v>
      </c>
      <c r="BA87" s="12" t="n">
        <v>0</v>
      </c>
      <c r="BB87" s="12" t="s">
        <v>1062</v>
      </c>
      <c r="BC87" s="13"/>
      <c r="BD87" s="12"/>
      <c r="BE87" s="12" t="s">
        <v>174</v>
      </c>
    </row>
    <row r="88" customFormat="false" ht="23.85" hidden="false" customHeight="false" outlineLevel="0" collapsed="false">
      <c r="A88" s="12" t="s">
        <v>1063</v>
      </c>
      <c r="B88" s="13" t="s">
        <v>1064</v>
      </c>
      <c r="C88" s="13" t="s">
        <v>1065</v>
      </c>
      <c r="D88" s="12" t="s">
        <v>146</v>
      </c>
      <c r="E88" s="12" t="s">
        <v>20</v>
      </c>
      <c r="F88" s="12" t="s">
        <v>38</v>
      </c>
      <c r="G88" s="12" t="s">
        <v>1066</v>
      </c>
      <c r="H88" s="12" t="s">
        <v>1067</v>
      </c>
      <c r="I88" s="12" t="s">
        <v>617</v>
      </c>
      <c r="J88" s="12" t="s">
        <v>1068</v>
      </c>
      <c r="K88" s="12" t="s">
        <v>1067</v>
      </c>
      <c r="L88" s="12" t="s">
        <v>20</v>
      </c>
      <c r="M88" s="12" t="s">
        <v>62</v>
      </c>
      <c r="N88" s="12" t="s">
        <v>1069</v>
      </c>
      <c r="O88" s="12" t="s">
        <v>316</v>
      </c>
      <c r="P88" s="12" t="n">
        <v>4</v>
      </c>
      <c r="Q88" s="12" t="s">
        <v>189</v>
      </c>
      <c r="R88" s="12" t="s">
        <v>81</v>
      </c>
      <c r="S88" s="12" t="s">
        <v>317</v>
      </c>
      <c r="T88" s="12" t="s">
        <v>179</v>
      </c>
      <c r="U88" s="12" t="s">
        <v>346</v>
      </c>
      <c r="V88" s="12" t="s">
        <v>60</v>
      </c>
      <c r="W88" s="12" t="s">
        <v>60</v>
      </c>
      <c r="X88" s="12" t="s">
        <v>60</v>
      </c>
      <c r="Y88" s="12" t="s">
        <v>1070</v>
      </c>
      <c r="Z88" s="12" t="s">
        <v>54</v>
      </c>
      <c r="AA88" s="12" t="s">
        <v>216</v>
      </c>
      <c r="AB88" s="18" t="s">
        <v>30</v>
      </c>
      <c r="AC88" s="12" t="s">
        <v>380</v>
      </c>
      <c r="AD88" s="13" t="s">
        <v>1071</v>
      </c>
      <c r="AE88" s="12" t="s">
        <v>1072</v>
      </c>
      <c r="AF88" s="12" t="n">
        <v>2019</v>
      </c>
      <c r="AG88" s="12" t="s">
        <v>1073</v>
      </c>
      <c r="AH88" s="12"/>
      <c r="AI88" s="12"/>
      <c r="AJ88" s="12"/>
      <c r="AK88" s="12"/>
      <c r="AL88" s="12"/>
      <c r="AM88" s="12" t="s">
        <v>1072</v>
      </c>
      <c r="AN88" s="12"/>
      <c r="AO88" s="12" t="s">
        <v>1074</v>
      </c>
      <c r="AP88" s="13"/>
      <c r="AQ88" s="12" t="s">
        <v>183</v>
      </c>
      <c r="AR88" s="12"/>
      <c r="AS88" s="12"/>
      <c r="AT88" s="12"/>
      <c r="AU88" s="12"/>
      <c r="AV88" s="12"/>
      <c r="AW88" s="12" t="n">
        <v>0</v>
      </c>
      <c r="AX88" s="12" t="n">
        <v>3</v>
      </c>
      <c r="AY88" s="12" t="s">
        <v>308</v>
      </c>
      <c r="AZ88" s="12" t="n">
        <v>1</v>
      </c>
      <c r="BA88" s="12" t="n">
        <v>0</v>
      </c>
      <c r="BB88" s="12" t="s">
        <v>1075</v>
      </c>
      <c r="BC88" s="13"/>
      <c r="BD88" s="12"/>
      <c r="BE88" s="12" t="s">
        <v>174</v>
      </c>
    </row>
    <row r="89" customFormat="false" ht="15" hidden="false" customHeight="false" outlineLevel="0" collapsed="false">
      <c r="A89" s="12" t="s">
        <v>1076</v>
      </c>
      <c r="B89" s="13" t="s">
        <v>1077</v>
      </c>
      <c r="C89" s="13" t="s">
        <v>1078</v>
      </c>
      <c r="D89" s="12" t="s">
        <v>146</v>
      </c>
      <c r="E89" s="12" t="s">
        <v>20</v>
      </c>
      <c r="F89" s="12" t="s">
        <v>38</v>
      </c>
      <c r="G89" s="12" t="s">
        <v>1079</v>
      </c>
      <c r="H89" s="12" t="s">
        <v>1080</v>
      </c>
      <c r="I89" s="12" t="s">
        <v>617</v>
      </c>
      <c r="J89" s="12" t="s">
        <v>1081</v>
      </c>
      <c r="K89" s="12" t="s">
        <v>1080</v>
      </c>
      <c r="L89" s="12" t="s">
        <v>20</v>
      </c>
      <c r="M89" s="12" t="s">
        <v>62</v>
      </c>
      <c r="N89" s="12" t="s">
        <v>1082</v>
      </c>
      <c r="O89" s="12" t="s">
        <v>152</v>
      </c>
      <c r="P89" s="12" t="n">
        <v>1</v>
      </c>
      <c r="Q89" s="12" t="s">
        <v>153</v>
      </c>
      <c r="R89" s="12" t="s">
        <v>78</v>
      </c>
      <c r="S89" s="12" t="s">
        <v>154</v>
      </c>
      <c r="T89" s="12" t="s">
        <v>155</v>
      </c>
      <c r="U89" s="12" t="s">
        <v>215</v>
      </c>
      <c r="V89" s="12" t="s">
        <v>60</v>
      </c>
      <c r="W89" s="12" t="s">
        <v>60</v>
      </c>
      <c r="X89" s="12" t="s">
        <v>60</v>
      </c>
      <c r="Y89" s="12" t="s">
        <v>1083</v>
      </c>
      <c r="Z89" s="12" t="s">
        <v>55</v>
      </c>
      <c r="AA89" s="12" t="s">
        <v>216</v>
      </c>
      <c r="AB89" s="15" t="s">
        <v>27</v>
      </c>
      <c r="AC89" s="12" t="s">
        <v>205</v>
      </c>
      <c r="AD89" s="13" t="s">
        <v>1084</v>
      </c>
      <c r="AE89" s="12" t="s">
        <v>1044</v>
      </c>
      <c r="AF89" s="12" t="n">
        <v>2024</v>
      </c>
      <c r="AG89" s="12" t="s">
        <v>1085</v>
      </c>
      <c r="AH89" s="12"/>
      <c r="AI89" s="12"/>
      <c r="AJ89" s="12"/>
      <c r="AK89" s="12"/>
      <c r="AL89" s="12"/>
      <c r="AM89" s="12" t="s">
        <v>1044</v>
      </c>
      <c r="AN89" s="12"/>
      <c r="AO89" s="12" t="s">
        <v>793</v>
      </c>
      <c r="AP89" s="13"/>
      <c r="AQ89" s="12" t="s">
        <v>183</v>
      </c>
      <c r="AR89" s="12"/>
      <c r="AS89" s="12"/>
      <c r="AT89" s="12"/>
      <c r="AU89" s="12"/>
      <c r="AV89" s="12"/>
      <c r="AW89" s="12" t="n">
        <v>0</v>
      </c>
      <c r="AX89" s="12" t="n">
        <v>3</v>
      </c>
      <c r="AY89" s="12" t="s">
        <v>308</v>
      </c>
      <c r="AZ89" s="12" t="n">
        <v>2</v>
      </c>
      <c r="BA89" s="12" t="n">
        <v>0</v>
      </c>
      <c r="BB89" s="12" t="s">
        <v>1086</v>
      </c>
      <c r="BC89" s="13"/>
      <c r="BD89" s="12"/>
      <c r="BE89" s="12" t="s">
        <v>174</v>
      </c>
    </row>
    <row r="90" customFormat="false" ht="23.85" hidden="false" customHeight="false" outlineLevel="0" collapsed="false">
      <c r="A90" s="12" t="s">
        <v>1087</v>
      </c>
      <c r="B90" s="13" t="s">
        <v>1088</v>
      </c>
      <c r="C90" s="13" t="s">
        <v>1089</v>
      </c>
      <c r="D90" s="12" t="s">
        <v>146</v>
      </c>
      <c r="E90" s="12" t="s">
        <v>20</v>
      </c>
      <c r="F90" s="12" t="s">
        <v>39</v>
      </c>
      <c r="G90" s="12" t="s">
        <v>1090</v>
      </c>
      <c r="H90" s="12" t="s">
        <v>1080</v>
      </c>
      <c r="I90" s="12" t="s">
        <v>617</v>
      </c>
      <c r="J90" s="12" t="s">
        <v>1081</v>
      </c>
      <c r="K90" s="12" t="s">
        <v>1080</v>
      </c>
      <c r="L90" s="12" t="s">
        <v>20</v>
      </c>
      <c r="M90" s="12" t="s">
        <v>62</v>
      </c>
      <c r="N90" s="12" t="s">
        <v>1082</v>
      </c>
      <c r="O90" s="12" t="s">
        <v>234</v>
      </c>
      <c r="P90" s="12" t="n">
        <v>1</v>
      </c>
      <c r="Q90" s="12" t="s">
        <v>153</v>
      </c>
      <c r="R90" s="12" t="s">
        <v>77</v>
      </c>
      <c r="S90" s="12" t="s">
        <v>235</v>
      </c>
      <c r="T90" s="12" t="s">
        <v>191</v>
      </c>
      <c r="U90" s="12" t="s">
        <v>346</v>
      </c>
      <c r="V90" s="12" t="s">
        <v>60</v>
      </c>
      <c r="W90" s="12" t="s">
        <v>60</v>
      </c>
      <c r="X90" s="12" t="s">
        <v>60</v>
      </c>
      <c r="Y90" s="12" t="s">
        <v>1091</v>
      </c>
      <c r="Z90" s="12" t="s">
        <v>54</v>
      </c>
      <c r="AA90" s="12" t="s">
        <v>216</v>
      </c>
      <c r="AB90" s="18" t="s">
        <v>30</v>
      </c>
      <c r="AC90" s="12" t="s">
        <v>380</v>
      </c>
      <c r="AD90" s="13" t="s">
        <v>1092</v>
      </c>
      <c r="AE90" s="12" t="s">
        <v>1093</v>
      </c>
      <c r="AF90" s="12" t="n">
        <v>2018</v>
      </c>
      <c r="AG90" s="12" t="s">
        <v>1094</v>
      </c>
      <c r="AH90" s="12"/>
      <c r="AI90" s="12"/>
      <c r="AJ90" s="12"/>
      <c r="AK90" s="12"/>
      <c r="AL90" s="12"/>
      <c r="AM90" s="12" t="s">
        <v>1093</v>
      </c>
      <c r="AN90" s="12"/>
      <c r="AO90" s="12" t="s">
        <v>718</v>
      </c>
      <c r="AP90" s="13" t="s">
        <v>1095</v>
      </c>
      <c r="AQ90" s="12" t="s">
        <v>183</v>
      </c>
      <c r="AR90" s="12"/>
      <c r="AS90" s="12"/>
      <c r="AT90" s="12"/>
      <c r="AU90" s="12"/>
      <c r="AV90" s="12"/>
      <c r="AW90" s="12" t="n">
        <v>0</v>
      </c>
      <c r="AX90" s="12" t="n">
        <v>1</v>
      </c>
      <c r="AY90" s="12" t="s">
        <v>805</v>
      </c>
      <c r="AZ90" s="12" t="n">
        <v>1</v>
      </c>
      <c r="BA90" s="12" t="n">
        <v>0</v>
      </c>
      <c r="BB90" s="12" t="s">
        <v>1096</v>
      </c>
      <c r="BC90" s="13" t="s">
        <v>1097</v>
      </c>
      <c r="BD90" s="12"/>
      <c r="BE90" s="12" t="s">
        <v>174</v>
      </c>
    </row>
    <row r="91" customFormat="false" ht="35.05" hidden="false" customHeight="false" outlineLevel="0" collapsed="false">
      <c r="A91" s="12" t="s">
        <v>1098</v>
      </c>
      <c r="B91" s="13" t="s">
        <v>1099</v>
      </c>
      <c r="C91" s="13" t="s">
        <v>1100</v>
      </c>
      <c r="D91" s="12" t="s">
        <v>146</v>
      </c>
      <c r="E91" s="12" t="s">
        <v>20</v>
      </c>
      <c r="F91" s="12" t="s">
        <v>40</v>
      </c>
      <c r="G91" s="12" t="s">
        <v>1101</v>
      </c>
      <c r="H91" s="12" t="s">
        <v>1102</v>
      </c>
      <c r="I91" s="12" t="s">
        <v>617</v>
      </c>
      <c r="J91" s="12" t="s">
        <v>1103</v>
      </c>
      <c r="K91" s="12" t="s">
        <v>1102</v>
      </c>
      <c r="L91" s="12" t="s">
        <v>20</v>
      </c>
      <c r="M91" s="12" t="s">
        <v>66</v>
      </c>
      <c r="N91" s="12" t="s">
        <v>1104</v>
      </c>
      <c r="O91" s="12" t="s">
        <v>226</v>
      </c>
      <c r="P91" s="12" t="n">
        <v>1</v>
      </c>
      <c r="Q91" s="12" t="s">
        <v>153</v>
      </c>
      <c r="R91" s="12" t="s">
        <v>78</v>
      </c>
      <c r="S91" s="12" t="s">
        <v>154</v>
      </c>
      <c r="T91" s="12" t="s">
        <v>191</v>
      </c>
      <c r="U91" s="12" t="s">
        <v>346</v>
      </c>
      <c r="V91" s="12" t="s">
        <v>60</v>
      </c>
      <c r="W91" s="12" t="s">
        <v>60</v>
      </c>
      <c r="X91" s="12" t="s">
        <v>60</v>
      </c>
      <c r="Y91" s="12" t="s">
        <v>1105</v>
      </c>
      <c r="Z91" s="12" t="s">
        <v>53</v>
      </c>
      <c r="AA91" s="12" t="s">
        <v>216</v>
      </c>
      <c r="AB91" s="14" t="s">
        <v>26</v>
      </c>
      <c r="AC91" s="12" t="s">
        <v>162</v>
      </c>
      <c r="AD91" s="13" t="s">
        <v>1106</v>
      </c>
      <c r="AE91" s="12" t="s">
        <v>541</v>
      </c>
      <c r="AF91" s="12" t="n">
        <v>2020</v>
      </c>
      <c r="AG91" s="12" t="s">
        <v>1107</v>
      </c>
      <c r="AH91" s="12"/>
      <c r="AI91" s="12"/>
      <c r="AJ91" s="12" t="s">
        <v>1108</v>
      </c>
      <c r="AK91" s="12"/>
      <c r="AL91" s="12"/>
      <c r="AM91" s="12" t="s">
        <v>541</v>
      </c>
      <c r="AN91" s="12" t="n">
        <v>33</v>
      </c>
      <c r="AO91" s="12" t="s">
        <v>488</v>
      </c>
      <c r="AP91" s="13" t="s">
        <v>1109</v>
      </c>
      <c r="AQ91" s="12" t="s">
        <v>183</v>
      </c>
      <c r="AR91" s="12"/>
      <c r="AS91" s="12"/>
      <c r="AT91" s="12"/>
      <c r="AU91" s="12"/>
      <c r="AV91" s="12"/>
      <c r="AW91" s="12" t="n">
        <v>0</v>
      </c>
      <c r="AX91" s="12" t="n">
        <v>4</v>
      </c>
      <c r="AY91" s="12" t="s">
        <v>338</v>
      </c>
      <c r="AZ91" s="12" t="n">
        <v>7</v>
      </c>
      <c r="BA91" s="12" t="n">
        <v>2</v>
      </c>
      <c r="BB91" s="12" t="s">
        <v>1110</v>
      </c>
      <c r="BC91" s="13"/>
      <c r="BD91" s="12"/>
      <c r="BE91" s="12" t="s">
        <v>174</v>
      </c>
    </row>
    <row r="92" customFormat="false" ht="15" hidden="false" customHeight="false" outlineLevel="0" collapsed="false">
      <c r="A92" s="12" t="s">
        <v>1111</v>
      </c>
      <c r="B92" s="13" t="s">
        <v>1112</v>
      </c>
      <c r="C92" s="13" t="s">
        <v>1113</v>
      </c>
      <c r="D92" s="12" t="s">
        <v>146</v>
      </c>
      <c r="E92" s="12" t="s">
        <v>20</v>
      </c>
      <c r="F92" s="12" t="s">
        <v>38</v>
      </c>
      <c r="G92" s="12" t="s">
        <v>1114</v>
      </c>
      <c r="H92" s="12" t="s">
        <v>1102</v>
      </c>
      <c r="I92" s="12" t="s">
        <v>617</v>
      </c>
      <c r="J92" s="12" t="s">
        <v>1103</v>
      </c>
      <c r="K92" s="12" t="s">
        <v>1102</v>
      </c>
      <c r="L92" s="12" t="s">
        <v>20</v>
      </c>
      <c r="M92" s="12" t="s">
        <v>66</v>
      </c>
      <c r="N92" s="12" t="s">
        <v>1104</v>
      </c>
      <c r="O92" s="12" t="s">
        <v>244</v>
      </c>
      <c r="P92" s="12" t="n">
        <v>3</v>
      </c>
      <c r="Q92" s="12" t="s">
        <v>245</v>
      </c>
      <c r="R92" s="12" t="s">
        <v>80</v>
      </c>
      <c r="S92" s="12" t="s">
        <v>246</v>
      </c>
      <c r="T92" s="12" t="s">
        <v>191</v>
      </c>
      <c r="U92" s="12" t="s">
        <v>1115</v>
      </c>
      <c r="V92" s="12" t="s">
        <v>553</v>
      </c>
      <c r="W92" s="12" t="s">
        <v>554</v>
      </c>
      <c r="X92" s="12" t="s">
        <v>555</v>
      </c>
      <c r="Y92" s="12" t="s">
        <v>553</v>
      </c>
      <c r="Z92" s="12" t="s">
        <v>54</v>
      </c>
      <c r="AA92" s="12" t="s">
        <v>216</v>
      </c>
      <c r="AB92" s="14" t="s">
        <v>26</v>
      </c>
      <c r="AC92" s="12" t="s">
        <v>162</v>
      </c>
      <c r="AD92" s="13" t="s">
        <v>217</v>
      </c>
      <c r="AE92" s="12" t="s">
        <v>1116</v>
      </c>
      <c r="AF92" s="12" t="n">
        <v>2022</v>
      </c>
      <c r="AG92" s="12" t="s">
        <v>528</v>
      </c>
      <c r="AH92" s="12"/>
      <c r="AI92" s="12"/>
      <c r="AJ92" s="12" t="s">
        <v>1117</v>
      </c>
      <c r="AK92" s="12"/>
      <c r="AL92" s="12"/>
      <c r="AM92" s="12" t="s">
        <v>1116</v>
      </c>
      <c r="AN92" s="12" t="n">
        <v>0</v>
      </c>
      <c r="AO92" s="12" t="s">
        <v>1118</v>
      </c>
      <c r="AP92" s="13"/>
      <c r="AQ92" s="12" t="s">
        <v>183</v>
      </c>
      <c r="AR92" s="12"/>
      <c r="AS92" s="12"/>
      <c r="AT92" s="12"/>
      <c r="AU92" s="12"/>
      <c r="AV92" s="12"/>
      <c r="AW92" s="12" t="n">
        <v>0</v>
      </c>
      <c r="AX92" s="12" t="n">
        <v>3</v>
      </c>
      <c r="AY92" s="12" t="s">
        <v>308</v>
      </c>
      <c r="AZ92" s="12" t="n">
        <v>5</v>
      </c>
      <c r="BA92" s="12" t="n">
        <v>0</v>
      </c>
      <c r="BB92" s="12" t="s">
        <v>1119</v>
      </c>
      <c r="BC92" s="13"/>
      <c r="BD92" s="12"/>
      <c r="BE92" s="12" t="s">
        <v>174</v>
      </c>
    </row>
    <row r="93" customFormat="false" ht="15" hidden="false" customHeight="false" outlineLevel="0" collapsed="false">
      <c r="A93" s="12" t="s">
        <v>1120</v>
      </c>
      <c r="B93" s="13" t="s">
        <v>1121</v>
      </c>
      <c r="C93" s="13" t="s">
        <v>1122</v>
      </c>
      <c r="D93" s="12" t="s">
        <v>146</v>
      </c>
      <c r="E93" s="12" t="s">
        <v>20</v>
      </c>
      <c r="F93" s="12" t="s">
        <v>38</v>
      </c>
      <c r="G93" s="12" t="s">
        <v>1114</v>
      </c>
      <c r="H93" s="12" t="s">
        <v>1102</v>
      </c>
      <c r="I93" s="12" t="s">
        <v>617</v>
      </c>
      <c r="J93" s="12" t="s">
        <v>1103</v>
      </c>
      <c r="K93" s="12" t="s">
        <v>1102</v>
      </c>
      <c r="L93" s="12" t="s">
        <v>20</v>
      </c>
      <c r="M93" s="12" t="s">
        <v>66</v>
      </c>
      <c r="N93" s="12" t="s">
        <v>1104</v>
      </c>
      <c r="O93" s="12" t="s">
        <v>304</v>
      </c>
      <c r="P93" s="12" t="n">
        <v>1</v>
      </c>
      <c r="Q93" s="12" t="s">
        <v>153</v>
      </c>
      <c r="R93" s="12" t="s">
        <v>82</v>
      </c>
      <c r="S93" s="12" t="s">
        <v>507</v>
      </c>
      <c r="T93" s="12" t="s">
        <v>155</v>
      </c>
      <c r="U93" s="12" t="s">
        <v>346</v>
      </c>
      <c r="V93" s="12" t="s">
        <v>60</v>
      </c>
      <c r="W93" s="12" t="s">
        <v>60</v>
      </c>
      <c r="X93" s="12" t="s">
        <v>60</v>
      </c>
      <c r="Y93" s="12" t="s">
        <v>1123</v>
      </c>
      <c r="Z93" s="12" t="s">
        <v>54</v>
      </c>
      <c r="AA93" s="12" t="s">
        <v>216</v>
      </c>
      <c r="AB93" s="14" t="s">
        <v>26</v>
      </c>
      <c r="AC93" s="12" t="s">
        <v>162</v>
      </c>
      <c r="AD93" s="13" t="s">
        <v>1124</v>
      </c>
      <c r="AE93" s="12" t="s">
        <v>1116</v>
      </c>
      <c r="AF93" s="12" t="n">
        <v>2022</v>
      </c>
      <c r="AG93" s="12"/>
      <c r="AH93" s="12"/>
      <c r="AI93" s="12"/>
      <c r="AJ93" s="12" t="s">
        <v>528</v>
      </c>
      <c r="AK93" s="12"/>
      <c r="AL93" s="12"/>
      <c r="AM93" s="12" t="s">
        <v>1116</v>
      </c>
      <c r="AN93" s="12"/>
      <c r="AO93" s="12" t="s">
        <v>1118</v>
      </c>
      <c r="AP93" s="13"/>
      <c r="AQ93" s="12" t="s">
        <v>183</v>
      </c>
      <c r="AR93" s="12"/>
      <c r="AS93" s="12"/>
      <c r="AT93" s="12"/>
      <c r="AU93" s="12"/>
      <c r="AV93" s="12"/>
      <c r="AW93" s="12" t="n">
        <v>0</v>
      </c>
      <c r="AX93" s="12" t="n">
        <v>3</v>
      </c>
      <c r="AY93" s="12" t="s">
        <v>308</v>
      </c>
      <c r="AZ93" s="12" t="n">
        <v>4</v>
      </c>
      <c r="BA93" s="12" t="n">
        <v>0</v>
      </c>
      <c r="BB93" s="12" t="s">
        <v>1125</v>
      </c>
      <c r="BC93" s="13"/>
      <c r="BD93" s="12"/>
      <c r="BE93" s="12" t="s">
        <v>174</v>
      </c>
    </row>
    <row r="94" customFormat="false" ht="15" hidden="false" customHeight="false" outlineLevel="0" collapsed="false">
      <c r="A94" s="12" t="s">
        <v>1126</v>
      </c>
      <c r="B94" s="13" t="s">
        <v>1127</v>
      </c>
      <c r="C94" s="13" t="s">
        <v>1128</v>
      </c>
      <c r="D94" s="12" t="s">
        <v>146</v>
      </c>
      <c r="E94" s="12" t="s">
        <v>20</v>
      </c>
      <c r="F94" s="12" t="s">
        <v>38</v>
      </c>
      <c r="G94" s="12" t="s">
        <v>1129</v>
      </c>
      <c r="H94" s="12" t="s">
        <v>1130</v>
      </c>
      <c r="I94" s="12" t="s">
        <v>617</v>
      </c>
      <c r="J94" s="12" t="s">
        <v>1131</v>
      </c>
      <c r="K94" s="12" t="s">
        <v>1130</v>
      </c>
      <c r="L94" s="12" t="s">
        <v>20</v>
      </c>
      <c r="M94" s="12" t="s">
        <v>66</v>
      </c>
      <c r="N94" s="12" t="s">
        <v>1132</v>
      </c>
      <c r="O94" s="12" t="s">
        <v>152</v>
      </c>
      <c r="P94" s="12" t="n">
        <v>1</v>
      </c>
      <c r="Q94" s="12" t="s">
        <v>153</v>
      </c>
      <c r="R94" s="12" t="s">
        <v>78</v>
      </c>
      <c r="S94" s="12" t="s">
        <v>154</v>
      </c>
      <c r="T94" s="12" t="s">
        <v>179</v>
      </c>
      <c r="U94" s="12" t="s">
        <v>215</v>
      </c>
      <c r="V94" s="12" t="s">
        <v>60</v>
      </c>
      <c r="W94" s="12" t="s">
        <v>60</v>
      </c>
      <c r="X94" s="12" t="s">
        <v>60</v>
      </c>
      <c r="Y94" s="12" t="s">
        <v>1133</v>
      </c>
      <c r="Z94" s="12" t="s">
        <v>57</v>
      </c>
      <c r="AA94" s="12" t="s">
        <v>216</v>
      </c>
      <c r="AB94" s="14" t="s">
        <v>26</v>
      </c>
      <c r="AC94" s="12" t="s">
        <v>162</v>
      </c>
      <c r="AD94" s="13" t="s">
        <v>1134</v>
      </c>
      <c r="AE94" s="12" t="s">
        <v>1135</v>
      </c>
      <c r="AF94" s="12" t="n">
        <v>2018</v>
      </c>
      <c r="AG94" s="12" t="s">
        <v>717</v>
      </c>
      <c r="AH94" s="12"/>
      <c r="AI94" s="12"/>
      <c r="AJ94" s="12" t="s">
        <v>717</v>
      </c>
      <c r="AK94" s="12"/>
      <c r="AL94" s="12"/>
      <c r="AM94" s="12" t="s">
        <v>1135</v>
      </c>
      <c r="AN94" s="12" t="n">
        <v>0</v>
      </c>
      <c r="AO94" s="12" t="s">
        <v>307</v>
      </c>
      <c r="AP94" s="13"/>
      <c r="AQ94" s="12" t="s">
        <v>183</v>
      </c>
      <c r="AR94" s="12"/>
      <c r="AS94" s="12"/>
      <c r="AT94" s="12"/>
      <c r="AU94" s="12"/>
      <c r="AV94" s="12"/>
      <c r="AW94" s="12" t="n">
        <v>0</v>
      </c>
      <c r="AX94" s="12" t="n">
        <v>4</v>
      </c>
      <c r="AY94" s="12" t="s">
        <v>338</v>
      </c>
      <c r="AZ94" s="12" t="n">
        <v>6</v>
      </c>
      <c r="BA94" s="12" t="n">
        <v>1</v>
      </c>
      <c r="BB94" s="12" t="s">
        <v>1136</v>
      </c>
      <c r="BC94" s="13"/>
      <c r="BD94" s="12"/>
      <c r="BE94" s="12" t="s">
        <v>174</v>
      </c>
    </row>
    <row r="95" customFormat="false" ht="23.85" hidden="false" customHeight="false" outlineLevel="0" collapsed="false">
      <c r="A95" s="12" t="s">
        <v>1137</v>
      </c>
      <c r="B95" s="13" t="s">
        <v>1138</v>
      </c>
      <c r="C95" s="13" t="s">
        <v>1139</v>
      </c>
      <c r="D95" s="12" t="s">
        <v>146</v>
      </c>
      <c r="E95" s="12" t="s">
        <v>20</v>
      </c>
      <c r="F95" s="12" t="s">
        <v>38</v>
      </c>
      <c r="G95" s="12" t="s">
        <v>1129</v>
      </c>
      <c r="H95" s="12" t="s">
        <v>1130</v>
      </c>
      <c r="I95" s="12" t="s">
        <v>617</v>
      </c>
      <c r="J95" s="12" t="s">
        <v>1131</v>
      </c>
      <c r="K95" s="12" t="s">
        <v>1130</v>
      </c>
      <c r="L95" s="12" t="s">
        <v>20</v>
      </c>
      <c r="M95" s="12" t="s">
        <v>66</v>
      </c>
      <c r="N95" s="12" t="s">
        <v>1132</v>
      </c>
      <c r="O95" s="12" t="s">
        <v>152</v>
      </c>
      <c r="P95" s="12" t="n">
        <v>1</v>
      </c>
      <c r="Q95" s="12" t="s">
        <v>153</v>
      </c>
      <c r="R95" s="12" t="s">
        <v>78</v>
      </c>
      <c r="S95" s="12" t="s">
        <v>154</v>
      </c>
      <c r="T95" s="12" t="s">
        <v>179</v>
      </c>
      <c r="U95" s="12" t="s">
        <v>215</v>
      </c>
      <c r="V95" s="12" t="s">
        <v>60</v>
      </c>
      <c r="W95" s="12" t="s">
        <v>60</v>
      </c>
      <c r="X95" s="12" t="s">
        <v>60</v>
      </c>
      <c r="Y95" s="12" t="s">
        <v>1140</v>
      </c>
      <c r="Z95" s="12" t="s">
        <v>57</v>
      </c>
      <c r="AA95" s="12" t="s">
        <v>216</v>
      </c>
      <c r="AB95" s="14" t="s">
        <v>26</v>
      </c>
      <c r="AC95" s="12" t="s">
        <v>162</v>
      </c>
      <c r="AD95" s="13" t="s">
        <v>1141</v>
      </c>
      <c r="AE95" s="12" t="s">
        <v>1142</v>
      </c>
      <c r="AF95" s="12" t="n">
        <v>2020</v>
      </c>
      <c r="AG95" s="12" t="s">
        <v>476</v>
      </c>
      <c r="AH95" s="12"/>
      <c r="AI95" s="12"/>
      <c r="AJ95" s="12" t="s">
        <v>1143</v>
      </c>
      <c r="AK95" s="12"/>
      <c r="AL95" s="12"/>
      <c r="AM95" s="12" t="s">
        <v>1142</v>
      </c>
      <c r="AN95" s="12" t="n">
        <v>4</v>
      </c>
      <c r="AO95" s="12" t="s">
        <v>1144</v>
      </c>
      <c r="AP95" s="13" t="s">
        <v>1145</v>
      </c>
      <c r="AQ95" s="12" t="s">
        <v>183</v>
      </c>
      <c r="AR95" s="12"/>
      <c r="AS95" s="12"/>
      <c r="AT95" s="12"/>
      <c r="AU95" s="12"/>
      <c r="AV95" s="12"/>
      <c r="AW95" s="12" t="n">
        <v>0</v>
      </c>
      <c r="AX95" s="12" t="n">
        <v>3</v>
      </c>
      <c r="AY95" s="12" t="s">
        <v>308</v>
      </c>
      <c r="AZ95" s="12" t="n">
        <v>6</v>
      </c>
      <c r="BA95" s="12" t="n">
        <v>0</v>
      </c>
      <c r="BB95" s="12" t="s">
        <v>1146</v>
      </c>
      <c r="BC95" s="13"/>
      <c r="BD95" s="12"/>
      <c r="BE95" s="12" t="s">
        <v>174</v>
      </c>
    </row>
    <row r="96" customFormat="false" ht="35.05" hidden="false" customHeight="false" outlineLevel="0" collapsed="false">
      <c r="A96" s="12" t="s">
        <v>1147</v>
      </c>
      <c r="B96" s="13" t="s">
        <v>1148</v>
      </c>
      <c r="C96" s="13" t="s">
        <v>1149</v>
      </c>
      <c r="D96" s="12" t="s">
        <v>146</v>
      </c>
      <c r="E96" s="12" t="s">
        <v>20</v>
      </c>
      <c r="F96" s="12" t="s">
        <v>38</v>
      </c>
      <c r="G96" s="12" t="s">
        <v>1150</v>
      </c>
      <c r="H96" s="12" t="s">
        <v>1130</v>
      </c>
      <c r="I96" s="12" t="s">
        <v>617</v>
      </c>
      <c r="J96" s="12" t="s">
        <v>1131</v>
      </c>
      <c r="K96" s="12" t="s">
        <v>1130</v>
      </c>
      <c r="L96" s="12" t="s">
        <v>20</v>
      </c>
      <c r="M96" s="12" t="s">
        <v>66</v>
      </c>
      <c r="N96" s="12" t="s">
        <v>1132</v>
      </c>
      <c r="O96" s="12" t="s">
        <v>234</v>
      </c>
      <c r="P96" s="12" t="n">
        <v>1</v>
      </c>
      <c r="Q96" s="12" t="s">
        <v>153</v>
      </c>
      <c r="R96" s="12" t="s">
        <v>77</v>
      </c>
      <c r="S96" s="12" t="s">
        <v>235</v>
      </c>
      <c r="T96" s="12" t="s">
        <v>191</v>
      </c>
      <c r="U96" s="12" t="s">
        <v>346</v>
      </c>
      <c r="V96" s="12" t="s">
        <v>60</v>
      </c>
      <c r="W96" s="12" t="s">
        <v>60</v>
      </c>
      <c r="X96" s="12" t="s">
        <v>60</v>
      </c>
      <c r="Y96" s="12" t="s">
        <v>1151</v>
      </c>
      <c r="Z96" s="12" t="s">
        <v>52</v>
      </c>
      <c r="AA96" s="12" t="s">
        <v>216</v>
      </c>
      <c r="AB96" s="18" t="s">
        <v>30</v>
      </c>
      <c r="AC96" s="12" t="s">
        <v>380</v>
      </c>
      <c r="AD96" s="13" t="s">
        <v>1152</v>
      </c>
      <c r="AE96" s="12" t="s">
        <v>1153</v>
      </c>
      <c r="AF96" s="12" t="n">
        <v>2019</v>
      </c>
      <c r="AG96" s="12"/>
      <c r="AH96" s="12" t="s">
        <v>1154</v>
      </c>
      <c r="AI96" s="12"/>
      <c r="AJ96" s="12"/>
      <c r="AK96" s="12"/>
      <c r="AL96" s="12"/>
      <c r="AM96" s="12" t="s">
        <v>1153</v>
      </c>
      <c r="AN96" s="12"/>
      <c r="AO96" s="12" t="s">
        <v>1144</v>
      </c>
      <c r="AP96" s="13"/>
      <c r="AQ96" s="12" t="s">
        <v>183</v>
      </c>
      <c r="AR96" s="12"/>
      <c r="AS96" s="12"/>
      <c r="AT96" s="12"/>
      <c r="AU96" s="12"/>
      <c r="AV96" s="12"/>
      <c r="AW96" s="12" t="n">
        <v>0</v>
      </c>
      <c r="AX96" s="12" t="n">
        <v>5</v>
      </c>
      <c r="AY96" s="12" t="s">
        <v>172</v>
      </c>
      <c r="AZ96" s="12" t="n">
        <v>5</v>
      </c>
      <c r="BA96" s="12" t="n">
        <v>3</v>
      </c>
      <c r="BB96" s="12" t="s">
        <v>1155</v>
      </c>
      <c r="BC96" s="13"/>
      <c r="BD96" s="12"/>
      <c r="BE96" s="12" t="s">
        <v>174</v>
      </c>
    </row>
    <row r="97" customFormat="false" ht="23.85" hidden="false" customHeight="false" outlineLevel="0" collapsed="false">
      <c r="A97" s="12" t="s">
        <v>1156</v>
      </c>
      <c r="B97" s="13" t="s">
        <v>1157</v>
      </c>
      <c r="C97" s="13" t="s">
        <v>1158</v>
      </c>
      <c r="D97" s="12" t="s">
        <v>146</v>
      </c>
      <c r="E97" s="12" t="s">
        <v>20</v>
      </c>
      <c r="F97" s="12" t="s">
        <v>45</v>
      </c>
      <c r="G97" s="12" t="s">
        <v>1159</v>
      </c>
      <c r="H97" s="12" t="s">
        <v>1130</v>
      </c>
      <c r="I97" s="12" t="s">
        <v>617</v>
      </c>
      <c r="J97" s="12" t="s">
        <v>1131</v>
      </c>
      <c r="K97" s="12" t="s">
        <v>1130</v>
      </c>
      <c r="L97" s="12" t="s">
        <v>20</v>
      </c>
      <c r="M97" s="12" t="s">
        <v>66</v>
      </c>
      <c r="N97" s="12" t="s">
        <v>1132</v>
      </c>
      <c r="O97" s="12" t="s">
        <v>471</v>
      </c>
      <c r="P97" s="12" t="n">
        <v>1</v>
      </c>
      <c r="Q97" s="12" t="s">
        <v>153</v>
      </c>
      <c r="R97" s="12" t="s">
        <v>74</v>
      </c>
      <c r="S97" s="12" t="s">
        <v>472</v>
      </c>
      <c r="T97" s="12" t="s">
        <v>191</v>
      </c>
      <c r="U97" s="12" t="s">
        <v>346</v>
      </c>
      <c r="V97" s="12" t="s">
        <v>60</v>
      </c>
      <c r="W97" s="12" t="s">
        <v>60</v>
      </c>
      <c r="X97" s="12" t="s">
        <v>60</v>
      </c>
      <c r="Y97" s="12" t="s">
        <v>1160</v>
      </c>
      <c r="Z97" s="12" t="s">
        <v>52</v>
      </c>
      <c r="AA97" s="12" t="s">
        <v>216</v>
      </c>
      <c r="AB97" s="17" t="s">
        <v>29</v>
      </c>
      <c r="AC97" s="12" t="s">
        <v>29</v>
      </c>
      <c r="AD97" s="13" t="s">
        <v>1161</v>
      </c>
      <c r="AE97" s="12" t="s">
        <v>1162</v>
      </c>
      <c r="AF97" s="12"/>
      <c r="AG97" s="12"/>
      <c r="AH97" s="12" t="s">
        <v>1162</v>
      </c>
      <c r="AI97" s="12" t="s">
        <v>1162</v>
      </c>
      <c r="AJ97" s="12"/>
      <c r="AK97" s="12"/>
      <c r="AL97" s="12"/>
      <c r="AM97" s="12" t="s">
        <v>1162</v>
      </c>
      <c r="AN97" s="12"/>
      <c r="AO97" s="12" t="s">
        <v>1163</v>
      </c>
      <c r="AP97" s="13"/>
      <c r="AQ97" s="12" t="s">
        <v>183</v>
      </c>
      <c r="AR97" s="12"/>
      <c r="AS97" s="12"/>
      <c r="AT97" s="12"/>
      <c r="AU97" s="12"/>
      <c r="AV97" s="12"/>
      <c r="AW97" s="12" t="n">
        <v>0</v>
      </c>
      <c r="AX97" s="12" t="n">
        <v>5</v>
      </c>
      <c r="AY97" s="12" t="s">
        <v>172</v>
      </c>
      <c r="AZ97" s="12" t="n">
        <v>2</v>
      </c>
      <c r="BA97" s="12" t="n">
        <v>2</v>
      </c>
      <c r="BB97" s="12" t="s">
        <v>1164</v>
      </c>
      <c r="BC97" s="13"/>
      <c r="BD97" s="12"/>
      <c r="BE97" s="12" t="s">
        <v>174</v>
      </c>
    </row>
    <row r="98" customFormat="false" ht="15" hidden="false" customHeight="false" outlineLevel="0" collapsed="false">
      <c r="A98" s="12" t="s">
        <v>1165</v>
      </c>
      <c r="B98" s="13" t="s">
        <v>1166</v>
      </c>
      <c r="C98" s="13" t="s">
        <v>1167</v>
      </c>
      <c r="D98" s="12" t="s">
        <v>146</v>
      </c>
      <c r="E98" s="12" t="s">
        <v>20</v>
      </c>
      <c r="F98" s="12" t="s">
        <v>38</v>
      </c>
      <c r="G98" s="12" t="s">
        <v>1168</v>
      </c>
      <c r="H98" s="12" t="s">
        <v>1130</v>
      </c>
      <c r="I98" s="12" t="s">
        <v>617</v>
      </c>
      <c r="J98" s="12" t="s">
        <v>1131</v>
      </c>
      <c r="K98" s="12" t="s">
        <v>1130</v>
      </c>
      <c r="L98" s="12" t="s">
        <v>20</v>
      </c>
      <c r="M98" s="12" t="s">
        <v>66</v>
      </c>
      <c r="N98" s="12" t="s">
        <v>1132</v>
      </c>
      <c r="O98" s="12" t="s">
        <v>276</v>
      </c>
      <c r="P98" s="12" t="n">
        <v>9</v>
      </c>
      <c r="Q98" s="12" t="s">
        <v>277</v>
      </c>
      <c r="R98" s="12" t="s">
        <v>73</v>
      </c>
      <c r="S98" s="12" t="s">
        <v>227</v>
      </c>
      <c r="T98" s="12" t="s">
        <v>191</v>
      </c>
      <c r="U98" s="12" t="s">
        <v>346</v>
      </c>
      <c r="V98" s="12" t="s">
        <v>60</v>
      </c>
      <c r="W98" s="12" t="s">
        <v>60</v>
      </c>
      <c r="X98" s="12" t="s">
        <v>60</v>
      </c>
      <c r="Y98" s="12" t="s">
        <v>215</v>
      </c>
      <c r="Z98" s="12" t="s">
        <v>60</v>
      </c>
      <c r="AA98" s="12" t="s">
        <v>216</v>
      </c>
      <c r="AB98" s="18" t="s">
        <v>30</v>
      </c>
      <c r="AC98" s="12" t="s">
        <v>380</v>
      </c>
      <c r="AD98" s="13" t="s">
        <v>1169</v>
      </c>
      <c r="AE98" s="12" t="s">
        <v>1170</v>
      </c>
      <c r="AF98" s="12" t="n">
        <v>2018</v>
      </c>
      <c r="AG98" s="12" t="s">
        <v>717</v>
      </c>
      <c r="AH98" s="12"/>
      <c r="AI98" s="12"/>
      <c r="AJ98" s="12"/>
      <c r="AK98" s="12"/>
      <c r="AL98" s="12"/>
      <c r="AM98" s="12" t="s">
        <v>1170</v>
      </c>
      <c r="AN98" s="12"/>
      <c r="AO98" s="12" t="s">
        <v>1171</v>
      </c>
      <c r="AP98" s="13"/>
      <c r="AQ98" s="12" t="s">
        <v>183</v>
      </c>
      <c r="AR98" s="12"/>
      <c r="AS98" s="12"/>
      <c r="AT98" s="12"/>
      <c r="AU98" s="12"/>
      <c r="AV98" s="12"/>
      <c r="AW98" s="12" t="n">
        <v>0</v>
      </c>
      <c r="AX98" s="12" t="n">
        <v>4</v>
      </c>
      <c r="AY98" s="12" t="s">
        <v>338</v>
      </c>
      <c r="AZ98" s="12" t="n">
        <v>2</v>
      </c>
      <c r="BA98" s="12" t="n">
        <v>1</v>
      </c>
      <c r="BB98" s="12" t="s">
        <v>1136</v>
      </c>
      <c r="BC98" s="13"/>
      <c r="BD98" s="12"/>
      <c r="BE98" s="12" t="s">
        <v>174</v>
      </c>
    </row>
    <row r="99" customFormat="false" ht="23.85" hidden="false" customHeight="false" outlineLevel="0" collapsed="false">
      <c r="A99" s="12" t="s">
        <v>1172</v>
      </c>
      <c r="B99" s="13" t="s">
        <v>1173</v>
      </c>
      <c r="C99" s="13" t="s">
        <v>1174</v>
      </c>
      <c r="D99" s="12" t="s">
        <v>146</v>
      </c>
      <c r="E99" s="12" t="s">
        <v>20</v>
      </c>
      <c r="F99" s="12" t="s">
        <v>38</v>
      </c>
      <c r="G99" s="12" t="s">
        <v>1175</v>
      </c>
      <c r="H99" s="12" t="s">
        <v>1176</v>
      </c>
      <c r="I99" s="12" t="s">
        <v>617</v>
      </c>
      <c r="J99" s="12" t="s">
        <v>1177</v>
      </c>
      <c r="K99" s="12" t="s">
        <v>1176</v>
      </c>
      <c r="L99" s="12" t="s">
        <v>20</v>
      </c>
      <c r="M99" s="12" t="s">
        <v>67</v>
      </c>
      <c r="N99" s="12" t="s">
        <v>1178</v>
      </c>
      <c r="O99" s="12" t="s">
        <v>285</v>
      </c>
      <c r="P99" s="12" t="n">
        <v>10</v>
      </c>
      <c r="Q99" s="12" t="s">
        <v>286</v>
      </c>
      <c r="R99" s="12" t="s">
        <v>83</v>
      </c>
      <c r="S99" s="12" t="s">
        <v>287</v>
      </c>
      <c r="T99" s="12" t="s">
        <v>155</v>
      </c>
      <c r="U99" s="12" t="s">
        <v>156</v>
      </c>
      <c r="V99" s="12" t="s">
        <v>157</v>
      </c>
      <c r="W99" s="12" t="s">
        <v>158</v>
      </c>
      <c r="X99" s="12" t="s">
        <v>159</v>
      </c>
      <c r="Y99" s="12" t="s">
        <v>180</v>
      </c>
      <c r="Z99" s="12" t="s">
        <v>52</v>
      </c>
      <c r="AA99" s="12" t="s">
        <v>161</v>
      </c>
      <c r="AB99" s="14" t="s">
        <v>26</v>
      </c>
      <c r="AC99" s="12" t="s">
        <v>162</v>
      </c>
      <c r="AD99" s="13" t="s">
        <v>217</v>
      </c>
      <c r="AE99" s="12" t="s">
        <v>1179</v>
      </c>
      <c r="AF99" s="12" t="n">
        <v>2023</v>
      </c>
      <c r="AG99" s="12"/>
      <c r="AH99" s="12"/>
      <c r="AI99" s="12"/>
      <c r="AJ99" s="12" t="s">
        <v>1180</v>
      </c>
      <c r="AK99" s="12"/>
      <c r="AL99" s="12"/>
      <c r="AM99" s="12" t="s">
        <v>1179</v>
      </c>
      <c r="AN99" s="12"/>
      <c r="AO99" s="12" t="s">
        <v>793</v>
      </c>
      <c r="AP99" s="13"/>
      <c r="AQ99" s="12" t="s">
        <v>183</v>
      </c>
      <c r="AR99" s="12"/>
      <c r="AS99" s="12"/>
      <c r="AT99" s="12"/>
      <c r="AU99" s="12"/>
      <c r="AV99" s="12"/>
      <c r="AW99" s="12" t="n">
        <v>0</v>
      </c>
      <c r="AX99" s="12" t="n">
        <v>3</v>
      </c>
      <c r="AY99" s="12" t="s">
        <v>308</v>
      </c>
      <c r="AZ99" s="12" t="n">
        <v>2</v>
      </c>
      <c r="BA99" s="12" t="n">
        <v>0</v>
      </c>
      <c r="BB99" s="12" t="s">
        <v>1181</v>
      </c>
      <c r="BC99" s="13"/>
      <c r="BD99" s="12"/>
      <c r="BE99" s="12" t="s">
        <v>174</v>
      </c>
    </row>
    <row r="100" customFormat="false" ht="23.85" hidden="false" customHeight="false" outlineLevel="0" collapsed="false">
      <c r="A100" s="12" t="s">
        <v>1182</v>
      </c>
      <c r="B100" s="13" t="s">
        <v>1183</v>
      </c>
      <c r="C100" s="13" t="s">
        <v>1184</v>
      </c>
      <c r="D100" s="12" t="s">
        <v>146</v>
      </c>
      <c r="E100" s="12" t="s">
        <v>20</v>
      </c>
      <c r="F100" s="12" t="s">
        <v>38</v>
      </c>
      <c r="G100" s="12" t="s">
        <v>751</v>
      </c>
      <c r="H100" s="12" t="s">
        <v>1185</v>
      </c>
      <c r="I100" s="12" t="s">
        <v>617</v>
      </c>
      <c r="J100" s="12" t="s">
        <v>1186</v>
      </c>
      <c r="K100" s="12" t="s">
        <v>1185</v>
      </c>
      <c r="L100" s="12" t="s">
        <v>20</v>
      </c>
      <c r="M100" s="12" t="s">
        <v>63</v>
      </c>
      <c r="N100" s="12" t="s">
        <v>1187</v>
      </c>
      <c r="O100" s="12" t="s">
        <v>234</v>
      </c>
      <c r="P100" s="12" t="n">
        <v>1</v>
      </c>
      <c r="Q100" s="12" t="s">
        <v>153</v>
      </c>
      <c r="R100" s="12" t="s">
        <v>77</v>
      </c>
      <c r="S100" s="12" t="s">
        <v>235</v>
      </c>
      <c r="T100" s="12" t="s">
        <v>191</v>
      </c>
      <c r="U100" s="12" t="s">
        <v>346</v>
      </c>
      <c r="V100" s="12" t="s">
        <v>60</v>
      </c>
      <c r="W100" s="12" t="s">
        <v>60</v>
      </c>
      <c r="X100" s="12" t="s">
        <v>60</v>
      </c>
      <c r="Y100" s="12" t="s">
        <v>1188</v>
      </c>
      <c r="Z100" s="12" t="s">
        <v>55</v>
      </c>
      <c r="AA100" s="12" t="s">
        <v>216</v>
      </c>
      <c r="AB100" s="18" t="s">
        <v>30</v>
      </c>
      <c r="AC100" s="12" t="s">
        <v>380</v>
      </c>
      <c r="AD100" s="13" t="s">
        <v>1189</v>
      </c>
      <c r="AE100" s="12" t="s">
        <v>1179</v>
      </c>
      <c r="AF100" s="12" t="n">
        <v>2018</v>
      </c>
      <c r="AG100" s="12" t="s">
        <v>1190</v>
      </c>
      <c r="AH100" s="12"/>
      <c r="AI100" s="12"/>
      <c r="AJ100" s="12"/>
      <c r="AK100" s="12"/>
      <c r="AL100" s="12"/>
      <c r="AM100" s="12" t="s">
        <v>1179</v>
      </c>
      <c r="AN100" s="12"/>
      <c r="AO100" s="12" t="s">
        <v>793</v>
      </c>
      <c r="AP100" s="13"/>
      <c r="AQ100" s="12" t="s">
        <v>183</v>
      </c>
      <c r="AR100" s="12"/>
      <c r="AS100" s="12"/>
      <c r="AT100" s="12"/>
      <c r="AU100" s="12"/>
      <c r="AV100" s="12"/>
      <c r="AW100" s="12" t="n">
        <v>0</v>
      </c>
      <c r="AX100" s="12" t="n">
        <v>3</v>
      </c>
      <c r="AY100" s="12" t="s">
        <v>308</v>
      </c>
      <c r="AZ100" s="12" t="n">
        <v>2</v>
      </c>
      <c r="BA100" s="12" t="n">
        <v>0</v>
      </c>
      <c r="BB100" s="12" t="s">
        <v>1191</v>
      </c>
      <c r="BC100" s="13" t="s">
        <v>1192</v>
      </c>
      <c r="BD100" s="12"/>
      <c r="BE100" s="12" t="s">
        <v>174</v>
      </c>
    </row>
    <row r="101" customFormat="false" ht="15" hidden="false" customHeight="false" outlineLevel="0" collapsed="false">
      <c r="A101" s="12" t="s">
        <v>1193</v>
      </c>
      <c r="B101" s="13" t="s">
        <v>1194</v>
      </c>
      <c r="C101" s="13" t="s">
        <v>1195</v>
      </c>
      <c r="D101" s="12" t="s">
        <v>146</v>
      </c>
      <c r="E101" s="12" t="s">
        <v>20</v>
      </c>
      <c r="F101" s="12" t="s">
        <v>42</v>
      </c>
      <c r="G101" s="12" t="s">
        <v>1196</v>
      </c>
      <c r="H101" s="12" t="s">
        <v>1185</v>
      </c>
      <c r="I101" s="12" t="s">
        <v>617</v>
      </c>
      <c r="J101" s="12" t="s">
        <v>1186</v>
      </c>
      <c r="K101" s="12" t="s">
        <v>1185</v>
      </c>
      <c r="L101" s="12" t="s">
        <v>20</v>
      </c>
      <c r="M101" s="12" t="s">
        <v>63</v>
      </c>
      <c r="N101" s="12" t="s">
        <v>1187</v>
      </c>
      <c r="O101" s="12" t="s">
        <v>1197</v>
      </c>
      <c r="P101" s="12" t="n">
        <v>4</v>
      </c>
      <c r="Q101" s="12" t="s">
        <v>189</v>
      </c>
      <c r="R101" s="12" t="s">
        <v>75</v>
      </c>
      <c r="S101" s="12" t="s">
        <v>1198</v>
      </c>
      <c r="T101" s="12" t="s">
        <v>191</v>
      </c>
      <c r="U101" s="12" t="s">
        <v>1199</v>
      </c>
      <c r="V101" s="12" t="s">
        <v>1200</v>
      </c>
      <c r="W101" s="12" t="s">
        <v>331</v>
      </c>
      <c r="X101" s="12" t="s">
        <v>60</v>
      </c>
      <c r="Y101" s="12" t="s">
        <v>1201</v>
      </c>
      <c r="Z101" s="12" t="s">
        <v>54</v>
      </c>
      <c r="AA101" s="12" t="s">
        <v>216</v>
      </c>
      <c r="AB101" s="17" t="s">
        <v>29</v>
      </c>
      <c r="AC101" s="12" t="s">
        <v>29</v>
      </c>
      <c r="AD101" s="13" t="s">
        <v>1202</v>
      </c>
      <c r="AE101" s="12" t="s">
        <v>1179</v>
      </c>
      <c r="AF101" s="12" t="n">
        <v>2019</v>
      </c>
      <c r="AG101" s="12" t="s">
        <v>1203</v>
      </c>
      <c r="AH101" s="12" t="s">
        <v>1204</v>
      </c>
      <c r="AI101" s="12"/>
      <c r="AJ101" s="12"/>
      <c r="AK101" s="12"/>
      <c r="AL101" s="12"/>
      <c r="AM101" s="12" t="s">
        <v>1179</v>
      </c>
      <c r="AN101" s="12"/>
      <c r="AO101" s="12" t="s">
        <v>793</v>
      </c>
      <c r="AP101" s="13"/>
      <c r="AQ101" s="12" t="s">
        <v>183</v>
      </c>
      <c r="AR101" s="12"/>
      <c r="AS101" s="12"/>
      <c r="AT101" s="12"/>
      <c r="AU101" s="12"/>
      <c r="AV101" s="12"/>
      <c r="AW101" s="12" t="n">
        <v>0</v>
      </c>
      <c r="AX101" s="12" t="n">
        <v>3</v>
      </c>
      <c r="AY101" s="12" t="s">
        <v>308</v>
      </c>
      <c r="AZ101" s="12" t="n">
        <v>2</v>
      </c>
      <c r="BA101" s="12" t="n">
        <v>0</v>
      </c>
      <c r="BB101" s="12" t="s">
        <v>1205</v>
      </c>
      <c r="BC101" s="13"/>
      <c r="BD101" s="12"/>
      <c r="BE101" s="12" t="s">
        <v>174</v>
      </c>
    </row>
    <row r="102" customFormat="false" ht="35.05" hidden="false" customHeight="false" outlineLevel="0" collapsed="false">
      <c r="A102" s="12" t="s">
        <v>1206</v>
      </c>
      <c r="B102" s="13" t="s">
        <v>1207</v>
      </c>
      <c r="C102" s="13" t="s">
        <v>1208</v>
      </c>
      <c r="D102" s="12" t="s">
        <v>146</v>
      </c>
      <c r="E102" s="12" t="s">
        <v>20</v>
      </c>
      <c r="F102" s="12" t="s">
        <v>42</v>
      </c>
      <c r="G102" s="12" t="s">
        <v>1209</v>
      </c>
      <c r="H102" s="12" t="s">
        <v>1185</v>
      </c>
      <c r="I102" s="12" t="s">
        <v>617</v>
      </c>
      <c r="J102" s="12" t="s">
        <v>1186</v>
      </c>
      <c r="K102" s="12" t="s">
        <v>1185</v>
      </c>
      <c r="L102" s="12" t="s">
        <v>20</v>
      </c>
      <c r="M102" s="12" t="s">
        <v>63</v>
      </c>
      <c r="N102" s="12" t="s">
        <v>1187</v>
      </c>
      <c r="O102" s="12" t="s">
        <v>1197</v>
      </c>
      <c r="P102" s="12" t="n">
        <v>4</v>
      </c>
      <c r="Q102" s="12" t="s">
        <v>189</v>
      </c>
      <c r="R102" s="12" t="s">
        <v>75</v>
      </c>
      <c r="S102" s="12" t="s">
        <v>1198</v>
      </c>
      <c r="T102" s="12" t="s">
        <v>179</v>
      </c>
      <c r="U102" s="12" t="s">
        <v>346</v>
      </c>
      <c r="V102" s="12" t="s">
        <v>60</v>
      </c>
      <c r="W102" s="12" t="s">
        <v>60</v>
      </c>
      <c r="X102" s="12" t="s">
        <v>60</v>
      </c>
      <c r="Y102" s="12" t="s">
        <v>1210</v>
      </c>
      <c r="Z102" s="12" t="s">
        <v>60</v>
      </c>
      <c r="AA102" s="12" t="s">
        <v>216</v>
      </c>
      <c r="AB102" s="15" t="s">
        <v>27</v>
      </c>
      <c r="AC102" s="12" t="s">
        <v>205</v>
      </c>
      <c r="AD102" s="13" t="s">
        <v>1211</v>
      </c>
      <c r="AE102" s="12" t="s">
        <v>1212</v>
      </c>
      <c r="AF102" s="12" t="n">
        <v>2026</v>
      </c>
      <c r="AG102" s="12" t="s">
        <v>1213</v>
      </c>
      <c r="AH102" s="12" t="s">
        <v>295</v>
      </c>
      <c r="AI102" s="12"/>
      <c r="AJ102" s="12"/>
      <c r="AK102" s="12"/>
      <c r="AL102" s="12"/>
      <c r="AM102" s="12" t="s">
        <v>1212</v>
      </c>
      <c r="AN102" s="12"/>
      <c r="AO102" s="12" t="s">
        <v>513</v>
      </c>
      <c r="AP102" s="13"/>
      <c r="AQ102" s="12" t="s">
        <v>183</v>
      </c>
      <c r="AR102" s="12"/>
      <c r="AS102" s="12"/>
      <c r="AT102" s="12"/>
      <c r="AU102" s="12"/>
      <c r="AV102" s="12"/>
      <c r="AW102" s="12" t="n">
        <v>0</v>
      </c>
      <c r="AX102" s="12" t="n">
        <v>3</v>
      </c>
      <c r="AY102" s="12" t="s">
        <v>308</v>
      </c>
      <c r="AZ102" s="12" t="n">
        <v>2</v>
      </c>
      <c r="BA102" s="12" t="n">
        <v>0</v>
      </c>
      <c r="BB102" s="12" t="s">
        <v>1214</v>
      </c>
      <c r="BC102" s="13"/>
      <c r="BD102" s="12"/>
      <c r="BE102" s="12" t="s">
        <v>174</v>
      </c>
    </row>
    <row r="103" customFormat="false" ht="23.85" hidden="false" customHeight="false" outlineLevel="0" collapsed="false">
      <c r="A103" s="12" t="s">
        <v>1215</v>
      </c>
      <c r="B103" s="13" t="s">
        <v>1216</v>
      </c>
      <c r="C103" s="13" t="s">
        <v>1217</v>
      </c>
      <c r="D103" s="12" t="s">
        <v>146</v>
      </c>
      <c r="E103" s="12" t="s">
        <v>20</v>
      </c>
      <c r="F103" s="12" t="s">
        <v>47</v>
      </c>
      <c r="G103" s="12" t="s">
        <v>1218</v>
      </c>
      <c r="H103" s="12" t="s">
        <v>1219</v>
      </c>
      <c r="I103" s="12" t="s">
        <v>617</v>
      </c>
      <c r="J103" s="12" t="s">
        <v>1220</v>
      </c>
      <c r="K103" s="12" t="s">
        <v>1219</v>
      </c>
      <c r="L103" s="12" t="s">
        <v>20</v>
      </c>
      <c r="M103" s="12" t="s">
        <v>63</v>
      </c>
      <c r="N103" s="12" t="s">
        <v>1221</v>
      </c>
      <c r="O103" s="12" t="s">
        <v>368</v>
      </c>
      <c r="P103" s="12" t="n">
        <v>7</v>
      </c>
      <c r="Q103" s="12" t="s">
        <v>369</v>
      </c>
      <c r="R103" s="12" t="s">
        <v>81</v>
      </c>
      <c r="S103" s="12" t="s">
        <v>317</v>
      </c>
      <c r="T103" s="12" t="s">
        <v>155</v>
      </c>
      <c r="U103" s="12" t="s">
        <v>1222</v>
      </c>
      <c r="V103" s="12" t="s">
        <v>1222</v>
      </c>
      <c r="W103" s="12" t="s">
        <v>554</v>
      </c>
      <c r="X103" s="12" t="s">
        <v>159</v>
      </c>
      <c r="Y103" s="12" t="s">
        <v>815</v>
      </c>
      <c r="Z103" s="12" t="s">
        <v>54</v>
      </c>
      <c r="AA103" s="12" t="s">
        <v>216</v>
      </c>
      <c r="AB103" s="18" t="s">
        <v>30</v>
      </c>
      <c r="AC103" s="12" t="s">
        <v>380</v>
      </c>
      <c r="AD103" s="13" t="s">
        <v>1223</v>
      </c>
      <c r="AE103" s="12" t="s">
        <v>415</v>
      </c>
      <c r="AF103" s="12" t="n">
        <v>2022</v>
      </c>
      <c r="AG103" s="12" t="s">
        <v>1224</v>
      </c>
      <c r="AH103" s="12"/>
      <c r="AI103" s="12"/>
      <c r="AJ103" s="12"/>
      <c r="AK103" s="12"/>
      <c r="AL103" s="12"/>
      <c r="AM103" s="12" t="s">
        <v>415</v>
      </c>
      <c r="AN103" s="12"/>
      <c r="AO103" s="12" t="s">
        <v>307</v>
      </c>
      <c r="AP103" s="13" t="s">
        <v>1225</v>
      </c>
      <c r="AQ103" s="12" t="s">
        <v>183</v>
      </c>
      <c r="AR103" s="12"/>
      <c r="AS103" s="12"/>
      <c r="AT103" s="12"/>
      <c r="AU103" s="12"/>
      <c r="AV103" s="12"/>
      <c r="AW103" s="12" t="n">
        <v>0</v>
      </c>
      <c r="AX103" s="12" t="n">
        <v>2</v>
      </c>
      <c r="AY103" s="12" t="s">
        <v>560</v>
      </c>
      <c r="AZ103" s="12" t="n">
        <v>3</v>
      </c>
      <c r="BA103" s="12" t="n">
        <v>0</v>
      </c>
      <c r="BB103" s="12" t="s">
        <v>1226</v>
      </c>
      <c r="BC103" s="13" t="s">
        <v>1227</v>
      </c>
      <c r="BD103" s="12"/>
      <c r="BE103" s="12" t="s">
        <v>174</v>
      </c>
    </row>
    <row r="104" customFormat="false" ht="23.85" hidden="false" customHeight="false" outlineLevel="0" collapsed="false">
      <c r="A104" s="12" t="s">
        <v>1228</v>
      </c>
      <c r="B104" s="13" t="s">
        <v>975</v>
      </c>
      <c r="C104" s="13" t="s">
        <v>976</v>
      </c>
      <c r="D104" s="12" t="s">
        <v>146</v>
      </c>
      <c r="E104" s="12" t="s">
        <v>20</v>
      </c>
      <c r="F104" s="12" t="s">
        <v>38</v>
      </c>
      <c r="G104" s="12" t="s">
        <v>1229</v>
      </c>
      <c r="H104" s="12" t="s">
        <v>1219</v>
      </c>
      <c r="I104" s="12" t="s">
        <v>617</v>
      </c>
      <c r="J104" s="12" t="s">
        <v>1220</v>
      </c>
      <c r="K104" s="12" t="s">
        <v>1219</v>
      </c>
      <c r="L104" s="12" t="s">
        <v>20</v>
      </c>
      <c r="M104" s="12" t="s">
        <v>63</v>
      </c>
      <c r="N104" s="12" t="s">
        <v>1221</v>
      </c>
      <c r="O104" s="12" t="s">
        <v>226</v>
      </c>
      <c r="P104" s="12" t="n">
        <v>1</v>
      </c>
      <c r="Q104" s="12" t="s">
        <v>153</v>
      </c>
      <c r="R104" s="12" t="s">
        <v>73</v>
      </c>
      <c r="S104" s="12" t="s">
        <v>227</v>
      </c>
      <c r="T104" s="12" t="s">
        <v>191</v>
      </c>
      <c r="U104" s="12" t="s">
        <v>156</v>
      </c>
      <c r="V104" s="12" t="s">
        <v>157</v>
      </c>
      <c r="W104" s="12" t="s">
        <v>158</v>
      </c>
      <c r="X104" s="12" t="s">
        <v>159</v>
      </c>
      <c r="Y104" s="12" t="s">
        <v>180</v>
      </c>
      <c r="Z104" s="12" t="s">
        <v>52</v>
      </c>
      <c r="AA104" s="12" t="s">
        <v>161</v>
      </c>
      <c r="AB104" s="14" t="s">
        <v>26</v>
      </c>
      <c r="AC104" s="12" t="s">
        <v>162</v>
      </c>
      <c r="AD104" s="13" t="s">
        <v>278</v>
      </c>
      <c r="AE104" s="12" t="s">
        <v>248</v>
      </c>
      <c r="AF104" s="12"/>
      <c r="AG104" s="12"/>
      <c r="AH104" s="12"/>
      <c r="AI104" s="12"/>
      <c r="AJ104" s="12" t="s">
        <v>164</v>
      </c>
      <c r="AK104" s="12"/>
      <c r="AL104" s="12"/>
      <c r="AM104" s="12" t="s">
        <v>248</v>
      </c>
      <c r="AN104" s="12"/>
      <c r="AO104" s="12" t="s">
        <v>167</v>
      </c>
      <c r="AP104" s="13" t="s">
        <v>1230</v>
      </c>
      <c r="AQ104" s="12" t="s">
        <v>197</v>
      </c>
      <c r="AR104" s="12" t="n">
        <v>3465</v>
      </c>
      <c r="AS104" s="12" t="n">
        <v>1</v>
      </c>
      <c r="AT104" s="12" t="s">
        <v>248</v>
      </c>
      <c r="AU104" s="12"/>
      <c r="AV104" s="12"/>
      <c r="AW104" s="12" t="n">
        <v>0</v>
      </c>
      <c r="AX104" s="12" t="n">
        <v>5</v>
      </c>
      <c r="AY104" s="12" t="s">
        <v>172</v>
      </c>
      <c r="AZ104" s="12" t="n">
        <v>2</v>
      </c>
      <c r="BA104" s="12" t="n">
        <v>2</v>
      </c>
      <c r="BB104" s="12" t="s">
        <v>173</v>
      </c>
      <c r="BC104" s="13" t="s">
        <v>980</v>
      </c>
      <c r="BD104" s="12"/>
      <c r="BE104" s="12" t="s">
        <v>174</v>
      </c>
    </row>
    <row r="105" customFormat="false" ht="35.05" hidden="false" customHeight="false" outlineLevel="0" collapsed="false">
      <c r="A105" s="12" t="s">
        <v>1231</v>
      </c>
      <c r="B105" s="13" t="s">
        <v>1232</v>
      </c>
      <c r="C105" s="13" t="s">
        <v>1233</v>
      </c>
      <c r="D105" s="12" t="s">
        <v>146</v>
      </c>
      <c r="E105" s="12" t="s">
        <v>20</v>
      </c>
      <c r="F105" s="12" t="s">
        <v>46</v>
      </c>
      <c r="G105" s="12" t="s">
        <v>1234</v>
      </c>
      <c r="H105" s="12" t="s">
        <v>1235</v>
      </c>
      <c r="I105" s="12" t="s">
        <v>617</v>
      </c>
      <c r="J105" s="12" t="s">
        <v>1236</v>
      </c>
      <c r="K105" s="12" t="s">
        <v>1235</v>
      </c>
      <c r="L105" s="12" t="s">
        <v>20</v>
      </c>
      <c r="M105" s="12" t="s">
        <v>64</v>
      </c>
      <c r="N105" s="12" t="s">
        <v>1237</v>
      </c>
      <c r="O105" s="12" t="s">
        <v>234</v>
      </c>
      <c r="P105" s="12" t="n">
        <v>1</v>
      </c>
      <c r="Q105" s="12" t="s">
        <v>153</v>
      </c>
      <c r="R105" s="12" t="s">
        <v>77</v>
      </c>
      <c r="S105" s="12" t="s">
        <v>235</v>
      </c>
      <c r="T105" s="12" t="s">
        <v>191</v>
      </c>
      <c r="U105" s="12" t="s">
        <v>1238</v>
      </c>
      <c r="V105" s="12" t="s">
        <v>553</v>
      </c>
      <c r="W105" s="12" t="s">
        <v>554</v>
      </c>
      <c r="X105" s="12" t="s">
        <v>555</v>
      </c>
      <c r="Y105" s="12" t="s">
        <v>1239</v>
      </c>
      <c r="Z105" s="12" t="s">
        <v>54</v>
      </c>
      <c r="AA105" s="12" t="s">
        <v>216</v>
      </c>
      <c r="AB105" s="18" t="s">
        <v>30</v>
      </c>
      <c r="AC105" s="12" t="s">
        <v>380</v>
      </c>
      <c r="AD105" s="13" t="s">
        <v>1240</v>
      </c>
      <c r="AE105" s="12" t="s">
        <v>1241</v>
      </c>
      <c r="AF105" s="12" t="n">
        <v>2023</v>
      </c>
      <c r="AG105" s="12" t="s">
        <v>1242</v>
      </c>
      <c r="AH105" s="12"/>
      <c r="AI105" s="12"/>
      <c r="AJ105" s="12"/>
      <c r="AK105" s="12"/>
      <c r="AL105" s="12"/>
      <c r="AM105" s="12" t="s">
        <v>1241</v>
      </c>
      <c r="AN105" s="12"/>
      <c r="AO105" s="12" t="s">
        <v>1243</v>
      </c>
      <c r="AP105" s="13" t="s">
        <v>1244</v>
      </c>
      <c r="AQ105" s="12" t="s">
        <v>230</v>
      </c>
      <c r="AR105" s="12"/>
      <c r="AS105" s="12"/>
      <c r="AT105" s="12"/>
      <c r="AU105" s="12" t="s">
        <v>1245</v>
      </c>
      <c r="AV105" s="12" t="s">
        <v>403</v>
      </c>
      <c r="AW105" s="12" t="n">
        <v>1</v>
      </c>
      <c r="AX105" s="12" t="n">
        <v>4</v>
      </c>
      <c r="AY105" s="12" t="s">
        <v>338</v>
      </c>
      <c r="AZ105" s="12" t="n">
        <v>9</v>
      </c>
      <c r="BA105" s="12" t="n">
        <v>1</v>
      </c>
      <c r="BB105" s="12" t="s">
        <v>1246</v>
      </c>
      <c r="BC105" s="13" t="s">
        <v>1247</v>
      </c>
      <c r="BD105" s="12"/>
      <c r="BE105" s="12" t="s">
        <v>174</v>
      </c>
    </row>
    <row r="106" customFormat="false" ht="57.45" hidden="false" customHeight="false" outlineLevel="0" collapsed="false">
      <c r="A106" s="12" t="s">
        <v>1248</v>
      </c>
      <c r="B106" s="13" t="s">
        <v>1249</v>
      </c>
      <c r="C106" s="13" t="s">
        <v>1250</v>
      </c>
      <c r="D106" s="12" t="s">
        <v>146</v>
      </c>
      <c r="E106" s="12" t="s">
        <v>20</v>
      </c>
      <c r="F106" s="12" t="s">
        <v>46</v>
      </c>
      <c r="G106" s="12" t="s">
        <v>1234</v>
      </c>
      <c r="H106" s="12" t="s">
        <v>1235</v>
      </c>
      <c r="I106" s="12" t="s">
        <v>617</v>
      </c>
      <c r="J106" s="12" t="s">
        <v>1236</v>
      </c>
      <c r="K106" s="12" t="s">
        <v>1235</v>
      </c>
      <c r="L106" s="12" t="s">
        <v>20</v>
      </c>
      <c r="M106" s="12" t="s">
        <v>64</v>
      </c>
      <c r="N106" s="12" t="s">
        <v>1237</v>
      </c>
      <c r="O106" s="12" t="s">
        <v>226</v>
      </c>
      <c r="P106" s="12" t="n">
        <v>1</v>
      </c>
      <c r="Q106" s="12" t="s">
        <v>153</v>
      </c>
      <c r="R106" s="12" t="s">
        <v>73</v>
      </c>
      <c r="S106" s="12" t="s">
        <v>227</v>
      </c>
      <c r="T106" s="12" t="s">
        <v>191</v>
      </c>
      <c r="U106" s="12" t="s">
        <v>346</v>
      </c>
      <c r="V106" s="12" t="s">
        <v>60</v>
      </c>
      <c r="W106" s="12" t="s">
        <v>60</v>
      </c>
      <c r="X106" s="12" t="s">
        <v>60</v>
      </c>
      <c r="Y106" s="12" t="s">
        <v>215</v>
      </c>
      <c r="Z106" s="12" t="s">
        <v>60</v>
      </c>
      <c r="AA106" s="12" t="s">
        <v>216</v>
      </c>
      <c r="AB106" s="18" t="s">
        <v>30</v>
      </c>
      <c r="AC106" s="12" t="s">
        <v>380</v>
      </c>
      <c r="AD106" s="13" t="s">
        <v>1251</v>
      </c>
      <c r="AE106" s="12" t="s">
        <v>1252</v>
      </c>
      <c r="AF106" s="12" t="n">
        <v>2018</v>
      </c>
      <c r="AG106" s="12"/>
      <c r="AH106" s="12"/>
      <c r="AI106" s="12"/>
      <c r="AJ106" s="12" t="s">
        <v>1253</v>
      </c>
      <c r="AK106" s="12"/>
      <c r="AL106" s="12"/>
      <c r="AM106" s="12" t="s">
        <v>1252</v>
      </c>
      <c r="AN106" s="12"/>
      <c r="AO106" s="12" t="s">
        <v>1254</v>
      </c>
      <c r="AP106" s="13"/>
      <c r="AQ106" s="12" t="s">
        <v>183</v>
      </c>
      <c r="AR106" s="12"/>
      <c r="AS106" s="12"/>
      <c r="AT106" s="12"/>
      <c r="AU106" s="12"/>
      <c r="AV106" s="12"/>
      <c r="AW106" s="12" t="n">
        <v>0</v>
      </c>
      <c r="AX106" s="12" t="n">
        <v>4</v>
      </c>
      <c r="AY106" s="12" t="s">
        <v>338</v>
      </c>
      <c r="AZ106" s="12" t="n">
        <v>2</v>
      </c>
      <c r="BA106" s="12" t="n">
        <v>1</v>
      </c>
      <c r="BB106" s="12" t="s">
        <v>1255</v>
      </c>
      <c r="BC106" s="13" t="s">
        <v>1256</v>
      </c>
      <c r="BD106" s="12"/>
      <c r="BE106" s="12" t="s">
        <v>174</v>
      </c>
    </row>
    <row r="107" customFormat="false" ht="23.85" hidden="false" customHeight="false" outlineLevel="0" collapsed="false">
      <c r="A107" s="12" t="s">
        <v>1257</v>
      </c>
      <c r="B107" s="13" t="s">
        <v>1258</v>
      </c>
      <c r="C107" s="13" t="s">
        <v>1259</v>
      </c>
      <c r="D107" s="12" t="s">
        <v>146</v>
      </c>
      <c r="E107" s="12" t="s">
        <v>21</v>
      </c>
      <c r="F107" s="12" t="s">
        <v>38</v>
      </c>
      <c r="G107" s="12" t="s">
        <v>1260</v>
      </c>
      <c r="H107" s="12" t="s">
        <v>1261</v>
      </c>
      <c r="I107" s="12" t="s">
        <v>617</v>
      </c>
      <c r="J107" s="12" t="s">
        <v>1262</v>
      </c>
      <c r="K107" s="12" t="s">
        <v>1261</v>
      </c>
      <c r="L107" s="12" t="s">
        <v>21</v>
      </c>
      <c r="M107" s="12" t="s">
        <v>62</v>
      </c>
      <c r="N107" s="12" t="s">
        <v>1263</v>
      </c>
      <c r="O107" s="12" t="s">
        <v>244</v>
      </c>
      <c r="P107" s="12" t="n">
        <v>3</v>
      </c>
      <c r="Q107" s="12" t="s">
        <v>245</v>
      </c>
      <c r="R107" s="12" t="s">
        <v>80</v>
      </c>
      <c r="S107" s="12" t="s">
        <v>246</v>
      </c>
      <c r="T107" s="12" t="s">
        <v>155</v>
      </c>
      <c r="U107" s="12" t="s">
        <v>156</v>
      </c>
      <c r="V107" s="12" t="s">
        <v>157</v>
      </c>
      <c r="W107" s="12" t="s">
        <v>158</v>
      </c>
      <c r="X107" s="12" t="s">
        <v>159</v>
      </c>
      <c r="Y107" s="12" t="s">
        <v>180</v>
      </c>
      <c r="Z107" s="12" t="s">
        <v>52</v>
      </c>
      <c r="AA107" s="12" t="s">
        <v>161</v>
      </c>
      <c r="AB107" s="14" t="s">
        <v>26</v>
      </c>
      <c r="AC107" s="12" t="s">
        <v>162</v>
      </c>
      <c r="AD107" s="13" t="s">
        <v>1264</v>
      </c>
      <c r="AE107" s="12" t="s">
        <v>895</v>
      </c>
      <c r="AF107" s="12" t="n">
        <v>2023</v>
      </c>
      <c r="AG107" s="12" t="s">
        <v>1265</v>
      </c>
      <c r="AH107" s="12"/>
      <c r="AI107" s="12"/>
      <c r="AJ107" s="12" t="s">
        <v>1266</v>
      </c>
      <c r="AK107" s="12"/>
      <c r="AL107" s="12"/>
      <c r="AM107" s="12" t="s">
        <v>895</v>
      </c>
      <c r="AN107" s="12" t="n">
        <v>7</v>
      </c>
      <c r="AO107" s="12" t="s">
        <v>897</v>
      </c>
      <c r="AP107" s="13"/>
      <c r="AQ107" s="12" t="s">
        <v>183</v>
      </c>
      <c r="AR107" s="12"/>
      <c r="AS107" s="12"/>
      <c r="AT107" s="12"/>
      <c r="AU107" s="12"/>
      <c r="AV107" s="12"/>
      <c r="AW107" s="12" t="n">
        <v>0</v>
      </c>
      <c r="AX107" s="12" t="n">
        <v>5</v>
      </c>
      <c r="AY107" s="12" t="s">
        <v>172</v>
      </c>
      <c r="AZ107" s="12" t="n">
        <v>7</v>
      </c>
      <c r="BA107" s="12" t="n">
        <v>2</v>
      </c>
      <c r="BB107" s="12" t="s">
        <v>1267</v>
      </c>
      <c r="BC107" s="13"/>
      <c r="BD107" s="12"/>
      <c r="BE107" s="12" t="s">
        <v>174</v>
      </c>
    </row>
    <row r="108" customFormat="false" ht="35.05" hidden="false" customHeight="false" outlineLevel="0" collapsed="false">
      <c r="A108" s="12" t="s">
        <v>1268</v>
      </c>
      <c r="B108" s="13" t="s">
        <v>1269</v>
      </c>
      <c r="C108" s="13" t="s">
        <v>1270</v>
      </c>
      <c r="D108" s="12" t="s">
        <v>146</v>
      </c>
      <c r="E108" s="12" t="s">
        <v>21</v>
      </c>
      <c r="F108" s="12" t="s">
        <v>38</v>
      </c>
      <c r="G108" s="12" t="s">
        <v>751</v>
      </c>
      <c r="H108" s="12" t="s">
        <v>1261</v>
      </c>
      <c r="I108" s="12" t="s">
        <v>617</v>
      </c>
      <c r="J108" s="12" t="s">
        <v>1262</v>
      </c>
      <c r="K108" s="12" t="s">
        <v>1261</v>
      </c>
      <c r="L108" s="12" t="s">
        <v>21</v>
      </c>
      <c r="M108" s="12" t="s">
        <v>62</v>
      </c>
      <c r="N108" s="12" t="s">
        <v>1263</v>
      </c>
      <c r="O108" s="12" t="s">
        <v>226</v>
      </c>
      <c r="P108" s="12" t="n">
        <v>1</v>
      </c>
      <c r="Q108" s="12" t="s">
        <v>153</v>
      </c>
      <c r="R108" s="12" t="s">
        <v>73</v>
      </c>
      <c r="S108" s="12" t="s">
        <v>227</v>
      </c>
      <c r="T108" s="12" t="s">
        <v>191</v>
      </c>
      <c r="U108" s="12" t="s">
        <v>156</v>
      </c>
      <c r="V108" s="12" t="s">
        <v>157</v>
      </c>
      <c r="W108" s="12" t="s">
        <v>158</v>
      </c>
      <c r="X108" s="12" t="s">
        <v>159</v>
      </c>
      <c r="Y108" s="12" t="s">
        <v>180</v>
      </c>
      <c r="Z108" s="12" t="s">
        <v>52</v>
      </c>
      <c r="AA108" s="12" t="s">
        <v>161</v>
      </c>
      <c r="AB108" s="14" t="s">
        <v>26</v>
      </c>
      <c r="AC108" s="12" t="s">
        <v>162</v>
      </c>
      <c r="AD108" s="13" t="s">
        <v>1271</v>
      </c>
      <c r="AE108" s="12" t="s">
        <v>248</v>
      </c>
      <c r="AF108" s="12"/>
      <c r="AG108" s="12" t="s">
        <v>1265</v>
      </c>
      <c r="AH108" s="12"/>
      <c r="AI108" s="12"/>
      <c r="AJ108" s="12" t="s">
        <v>653</v>
      </c>
      <c r="AK108" s="12"/>
      <c r="AL108" s="12"/>
      <c r="AM108" s="12" t="s">
        <v>248</v>
      </c>
      <c r="AN108" s="12" t="n">
        <v>18</v>
      </c>
      <c r="AO108" s="12" t="s">
        <v>167</v>
      </c>
      <c r="AP108" s="13" t="s">
        <v>1272</v>
      </c>
      <c r="AQ108" s="12" t="s">
        <v>230</v>
      </c>
      <c r="AR108" s="12" t="n">
        <v>816773</v>
      </c>
      <c r="AS108" s="12" t="n">
        <v>153915</v>
      </c>
      <c r="AT108" s="12" t="s">
        <v>248</v>
      </c>
      <c r="AU108" s="12"/>
      <c r="AV108" s="12"/>
      <c r="AW108" s="12" t="n">
        <v>0</v>
      </c>
      <c r="AX108" s="12" t="n">
        <v>5</v>
      </c>
      <c r="AY108" s="12" t="s">
        <v>172</v>
      </c>
      <c r="AZ108" s="12" t="n">
        <v>6</v>
      </c>
      <c r="BA108" s="12" t="n">
        <v>4</v>
      </c>
      <c r="BB108" s="12" t="s">
        <v>173</v>
      </c>
      <c r="BC108" s="13" t="s">
        <v>1273</v>
      </c>
      <c r="BD108" s="12"/>
      <c r="BE108" s="12" t="s">
        <v>174</v>
      </c>
    </row>
    <row r="109" customFormat="false" ht="23.85" hidden="false" customHeight="false" outlineLevel="0" collapsed="false">
      <c r="A109" s="12" t="s">
        <v>1274</v>
      </c>
      <c r="B109" s="13" t="s">
        <v>1275</v>
      </c>
      <c r="C109" s="13" t="s">
        <v>1276</v>
      </c>
      <c r="D109" s="12" t="s">
        <v>146</v>
      </c>
      <c r="E109" s="12" t="s">
        <v>21</v>
      </c>
      <c r="F109" s="12" t="s">
        <v>38</v>
      </c>
      <c r="G109" s="12" t="s">
        <v>1277</v>
      </c>
      <c r="H109" s="12" t="s">
        <v>1278</v>
      </c>
      <c r="I109" s="12" t="s">
        <v>617</v>
      </c>
      <c r="J109" s="12" t="s">
        <v>1279</v>
      </c>
      <c r="K109" s="12" t="s">
        <v>1278</v>
      </c>
      <c r="L109" s="12" t="s">
        <v>21</v>
      </c>
      <c r="M109" s="12" t="s">
        <v>62</v>
      </c>
      <c r="N109" s="12" t="s">
        <v>1280</v>
      </c>
      <c r="O109" s="12" t="s">
        <v>226</v>
      </c>
      <c r="P109" s="12" t="n">
        <v>1</v>
      </c>
      <c r="Q109" s="12" t="s">
        <v>153</v>
      </c>
      <c r="R109" s="12" t="s">
        <v>73</v>
      </c>
      <c r="S109" s="12" t="s">
        <v>227</v>
      </c>
      <c r="T109" s="12" t="s">
        <v>191</v>
      </c>
      <c r="U109" s="12" t="s">
        <v>346</v>
      </c>
      <c r="V109" s="12" t="s">
        <v>60</v>
      </c>
      <c r="W109" s="12" t="s">
        <v>60</v>
      </c>
      <c r="X109" s="12" t="s">
        <v>60</v>
      </c>
      <c r="Y109" s="12" t="s">
        <v>1281</v>
      </c>
      <c r="Z109" s="12" t="s">
        <v>52</v>
      </c>
      <c r="AA109" s="12" t="s">
        <v>216</v>
      </c>
      <c r="AB109" s="14" t="s">
        <v>26</v>
      </c>
      <c r="AC109" s="12" t="s">
        <v>162</v>
      </c>
      <c r="AD109" s="13" t="s">
        <v>1282</v>
      </c>
      <c r="AE109" s="12" t="s">
        <v>541</v>
      </c>
      <c r="AF109" s="12"/>
      <c r="AG109" s="12"/>
      <c r="AH109" s="12"/>
      <c r="AI109" s="12"/>
      <c r="AJ109" s="12"/>
      <c r="AK109" s="12"/>
      <c r="AL109" s="12"/>
      <c r="AM109" s="12" t="s">
        <v>541</v>
      </c>
      <c r="AN109" s="12"/>
      <c r="AO109" s="12" t="s">
        <v>488</v>
      </c>
      <c r="AP109" s="13"/>
      <c r="AQ109" s="12" t="s">
        <v>183</v>
      </c>
      <c r="AR109" s="12"/>
      <c r="AS109" s="12"/>
      <c r="AT109" s="12"/>
      <c r="AU109" s="12"/>
      <c r="AV109" s="12"/>
      <c r="AW109" s="12" t="n">
        <v>0</v>
      </c>
      <c r="AX109" s="12" t="n">
        <v>5</v>
      </c>
      <c r="AY109" s="12" t="s">
        <v>172</v>
      </c>
      <c r="AZ109" s="12" t="n">
        <v>2</v>
      </c>
      <c r="BA109" s="12" t="n">
        <v>1</v>
      </c>
      <c r="BB109" s="12" t="s">
        <v>1283</v>
      </c>
      <c r="BC109" s="13"/>
      <c r="BD109" s="12"/>
      <c r="BE109" s="12" t="s">
        <v>174</v>
      </c>
    </row>
    <row r="110" customFormat="false" ht="15" hidden="false" customHeight="false" outlineLevel="0" collapsed="false">
      <c r="A110" s="12" t="s">
        <v>1284</v>
      </c>
      <c r="B110" s="13" t="s">
        <v>1285</v>
      </c>
      <c r="C110" s="13" t="s">
        <v>1286</v>
      </c>
      <c r="D110" s="12" t="s">
        <v>146</v>
      </c>
      <c r="E110" s="12" t="s">
        <v>21</v>
      </c>
      <c r="F110" s="12" t="s">
        <v>38</v>
      </c>
      <c r="G110" s="12" t="s">
        <v>751</v>
      </c>
      <c r="H110" s="12" t="s">
        <v>1278</v>
      </c>
      <c r="I110" s="12" t="s">
        <v>617</v>
      </c>
      <c r="J110" s="12" t="s">
        <v>1279</v>
      </c>
      <c r="K110" s="12" t="s">
        <v>1278</v>
      </c>
      <c r="L110" s="12" t="s">
        <v>21</v>
      </c>
      <c r="M110" s="12" t="s">
        <v>62</v>
      </c>
      <c r="N110" s="12" t="s">
        <v>1280</v>
      </c>
      <c r="O110" s="12" t="s">
        <v>234</v>
      </c>
      <c r="P110" s="12" t="n">
        <v>1</v>
      </c>
      <c r="Q110" s="12" t="s">
        <v>153</v>
      </c>
      <c r="R110" s="12" t="s">
        <v>77</v>
      </c>
      <c r="S110" s="12" t="s">
        <v>235</v>
      </c>
      <c r="T110" s="12" t="s">
        <v>191</v>
      </c>
      <c r="U110" s="12" t="s">
        <v>346</v>
      </c>
      <c r="V110" s="12" t="s">
        <v>60</v>
      </c>
      <c r="W110" s="12" t="s">
        <v>60</v>
      </c>
      <c r="X110" s="12" t="s">
        <v>60</v>
      </c>
      <c r="Y110" s="12" t="s">
        <v>215</v>
      </c>
      <c r="Z110" s="12" t="s">
        <v>60</v>
      </c>
      <c r="AA110" s="12" t="s">
        <v>216</v>
      </c>
      <c r="AB110" s="18" t="s">
        <v>30</v>
      </c>
      <c r="AC110" s="12" t="s">
        <v>380</v>
      </c>
      <c r="AD110" s="13" t="s">
        <v>1287</v>
      </c>
      <c r="AE110" s="12" t="s">
        <v>1212</v>
      </c>
      <c r="AF110" s="12"/>
      <c r="AG110" s="12"/>
      <c r="AH110" s="12"/>
      <c r="AI110" s="12"/>
      <c r="AJ110" s="12"/>
      <c r="AK110" s="12"/>
      <c r="AL110" s="12"/>
      <c r="AM110" s="12" t="s">
        <v>1212</v>
      </c>
      <c r="AN110" s="12"/>
      <c r="AO110" s="12" t="s">
        <v>513</v>
      </c>
      <c r="AP110" s="13"/>
      <c r="AQ110" s="12" t="s">
        <v>183</v>
      </c>
      <c r="AR110" s="12"/>
      <c r="AS110" s="12"/>
      <c r="AT110" s="12"/>
      <c r="AU110" s="12"/>
      <c r="AV110" s="12"/>
      <c r="AW110" s="12" t="n">
        <v>0</v>
      </c>
      <c r="AX110" s="12" t="n">
        <v>1</v>
      </c>
      <c r="AY110" s="12" t="s">
        <v>805</v>
      </c>
      <c r="AZ110" s="12" t="n">
        <v>1</v>
      </c>
      <c r="BA110" s="12" t="n">
        <v>0</v>
      </c>
      <c r="BB110" s="12" t="s">
        <v>1288</v>
      </c>
      <c r="BC110" s="13" t="s">
        <v>1289</v>
      </c>
      <c r="BD110" s="12"/>
      <c r="BE110" s="12" t="s">
        <v>174</v>
      </c>
    </row>
    <row r="111" customFormat="false" ht="23.85" hidden="false" customHeight="false" outlineLevel="0" collapsed="false">
      <c r="A111" s="12" t="s">
        <v>1290</v>
      </c>
      <c r="B111" s="13" t="s">
        <v>1291</v>
      </c>
      <c r="C111" s="13" t="s">
        <v>1292</v>
      </c>
      <c r="D111" s="12" t="s">
        <v>146</v>
      </c>
      <c r="E111" s="12" t="s">
        <v>21</v>
      </c>
      <c r="F111" s="12" t="s">
        <v>38</v>
      </c>
      <c r="G111" s="12" t="s">
        <v>751</v>
      </c>
      <c r="H111" s="12" t="s">
        <v>1293</v>
      </c>
      <c r="I111" s="12" t="s">
        <v>617</v>
      </c>
      <c r="J111" s="12" t="s">
        <v>1294</v>
      </c>
      <c r="K111" s="12" t="s">
        <v>1293</v>
      </c>
      <c r="L111" s="12" t="s">
        <v>21</v>
      </c>
      <c r="M111" s="12" t="s">
        <v>66</v>
      </c>
      <c r="N111" s="12" t="s">
        <v>1295</v>
      </c>
      <c r="O111" s="12" t="s">
        <v>226</v>
      </c>
      <c r="P111" s="12" t="n">
        <v>1</v>
      </c>
      <c r="Q111" s="12" t="s">
        <v>153</v>
      </c>
      <c r="R111" s="12" t="s">
        <v>73</v>
      </c>
      <c r="S111" s="12" t="s">
        <v>227</v>
      </c>
      <c r="T111" s="12" t="s">
        <v>191</v>
      </c>
      <c r="U111" s="12" t="s">
        <v>156</v>
      </c>
      <c r="V111" s="12" t="s">
        <v>157</v>
      </c>
      <c r="W111" s="12" t="s">
        <v>158</v>
      </c>
      <c r="X111" s="12" t="s">
        <v>159</v>
      </c>
      <c r="Y111" s="12" t="s">
        <v>180</v>
      </c>
      <c r="Z111" s="12" t="s">
        <v>52</v>
      </c>
      <c r="AA111" s="12" t="s">
        <v>161</v>
      </c>
      <c r="AB111" s="14" t="s">
        <v>26</v>
      </c>
      <c r="AC111" s="12" t="s">
        <v>162</v>
      </c>
      <c r="AD111" s="13" t="s">
        <v>1296</v>
      </c>
      <c r="AE111" s="12" t="s">
        <v>164</v>
      </c>
      <c r="AF111" s="12" t="n">
        <v>2023</v>
      </c>
      <c r="AG111" s="12"/>
      <c r="AH111" s="12"/>
      <c r="AI111" s="12"/>
      <c r="AJ111" s="12" t="s">
        <v>1297</v>
      </c>
      <c r="AK111" s="12"/>
      <c r="AL111" s="12"/>
      <c r="AM111" s="12" t="s">
        <v>164</v>
      </c>
      <c r="AN111" s="12"/>
      <c r="AO111" s="12" t="s">
        <v>167</v>
      </c>
      <c r="AP111" s="13" t="s">
        <v>1298</v>
      </c>
      <c r="AQ111" s="12" t="s">
        <v>197</v>
      </c>
      <c r="AR111" s="12" t="n">
        <v>0</v>
      </c>
      <c r="AS111" s="12" t="n">
        <v>15</v>
      </c>
      <c r="AT111" s="12" t="s">
        <v>248</v>
      </c>
      <c r="AU111" s="12"/>
      <c r="AV111" s="12"/>
      <c r="AW111" s="12" t="n">
        <v>0</v>
      </c>
      <c r="AX111" s="12" t="n">
        <v>5</v>
      </c>
      <c r="AY111" s="12" t="s">
        <v>172</v>
      </c>
      <c r="AZ111" s="12" t="n">
        <v>3</v>
      </c>
      <c r="BA111" s="12" t="n">
        <v>2</v>
      </c>
      <c r="BB111" s="12" t="s">
        <v>173</v>
      </c>
      <c r="BC111" s="13"/>
      <c r="BD111" s="12"/>
      <c r="BE111" s="12" t="s">
        <v>174</v>
      </c>
    </row>
    <row r="112" customFormat="false" ht="35.05" hidden="false" customHeight="false" outlineLevel="0" collapsed="false">
      <c r="A112" s="12" t="s">
        <v>1299</v>
      </c>
      <c r="B112" s="13" t="s">
        <v>1300</v>
      </c>
      <c r="C112" s="13" t="s">
        <v>1301</v>
      </c>
      <c r="D112" s="12" t="s">
        <v>146</v>
      </c>
      <c r="E112" s="12" t="s">
        <v>21</v>
      </c>
      <c r="F112" s="12" t="s">
        <v>38</v>
      </c>
      <c r="G112" s="12" t="s">
        <v>1302</v>
      </c>
      <c r="H112" s="12" t="s">
        <v>1293</v>
      </c>
      <c r="I112" s="12" t="s">
        <v>617</v>
      </c>
      <c r="J112" s="12" t="s">
        <v>1294</v>
      </c>
      <c r="K112" s="12" t="s">
        <v>1293</v>
      </c>
      <c r="L112" s="12" t="s">
        <v>21</v>
      </c>
      <c r="M112" s="12" t="s">
        <v>66</v>
      </c>
      <c r="N112" s="12" t="s">
        <v>1295</v>
      </c>
      <c r="O112" s="12" t="s">
        <v>285</v>
      </c>
      <c r="P112" s="12" t="n">
        <v>10</v>
      </c>
      <c r="Q112" s="12" t="s">
        <v>286</v>
      </c>
      <c r="R112" s="12" t="s">
        <v>83</v>
      </c>
      <c r="S112" s="12" t="s">
        <v>287</v>
      </c>
      <c r="T112" s="12" t="s">
        <v>191</v>
      </c>
      <c r="U112" s="12" t="s">
        <v>156</v>
      </c>
      <c r="V112" s="12" t="s">
        <v>157</v>
      </c>
      <c r="W112" s="12" t="s">
        <v>158</v>
      </c>
      <c r="X112" s="12" t="s">
        <v>159</v>
      </c>
      <c r="Y112" s="12" t="s">
        <v>180</v>
      </c>
      <c r="Z112" s="12" t="s">
        <v>52</v>
      </c>
      <c r="AA112" s="12" t="s">
        <v>161</v>
      </c>
      <c r="AB112" s="14" t="s">
        <v>26</v>
      </c>
      <c r="AC112" s="12" t="s">
        <v>162</v>
      </c>
      <c r="AD112" s="13" t="s">
        <v>162</v>
      </c>
      <c r="AE112" s="12" t="s">
        <v>248</v>
      </c>
      <c r="AF112" s="12" t="n">
        <v>2023</v>
      </c>
      <c r="AG112" s="12"/>
      <c r="AH112" s="12"/>
      <c r="AI112" s="12"/>
      <c r="AJ112" s="12" t="s">
        <v>1303</v>
      </c>
      <c r="AK112" s="12"/>
      <c r="AL112" s="12"/>
      <c r="AM112" s="12" t="s">
        <v>248</v>
      </c>
      <c r="AN112" s="12"/>
      <c r="AO112" s="12" t="s">
        <v>167</v>
      </c>
      <c r="AP112" s="13" t="s">
        <v>1304</v>
      </c>
      <c r="AQ112" s="12" t="s">
        <v>230</v>
      </c>
      <c r="AR112" s="12" t="n">
        <v>387616</v>
      </c>
      <c r="AS112" s="12" t="n">
        <v>828</v>
      </c>
      <c r="AT112" s="12" t="s">
        <v>248</v>
      </c>
      <c r="AU112" s="12"/>
      <c r="AV112" s="12"/>
      <c r="AW112" s="12" t="n">
        <v>0</v>
      </c>
      <c r="AX112" s="12" t="n">
        <v>5</v>
      </c>
      <c r="AY112" s="12" t="s">
        <v>172</v>
      </c>
      <c r="AZ112" s="12" t="n">
        <v>5</v>
      </c>
      <c r="BA112" s="12" t="n">
        <v>4</v>
      </c>
      <c r="BB112" s="12" t="s">
        <v>173</v>
      </c>
      <c r="BC112" s="13"/>
      <c r="BD112" s="12"/>
      <c r="BE112" s="12" t="s">
        <v>174</v>
      </c>
    </row>
    <row r="113" customFormat="false" ht="23.85" hidden="false" customHeight="false" outlineLevel="0" collapsed="false">
      <c r="A113" s="12" t="s">
        <v>1305</v>
      </c>
      <c r="B113" s="13" t="s">
        <v>1306</v>
      </c>
      <c r="C113" s="13" t="s">
        <v>1307</v>
      </c>
      <c r="D113" s="12" t="s">
        <v>146</v>
      </c>
      <c r="E113" s="12" t="s">
        <v>22</v>
      </c>
      <c r="F113" s="12" t="s">
        <v>49</v>
      </c>
      <c r="G113" s="12" t="s">
        <v>1308</v>
      </c>
      <c r="H113" s="12" t="s">
        <v>711</v>
      </c>
      <c r="I113" s="12" t="s">
        <v>617</v>
      </c>
      <c r="J113" s="12" t="s">
        <v>712</v>
      </c>
      <c r="K113" s="12" t="s">
        <v>711</v>
      </c>
      <c r="L113" s="12" t="s">
        <v>20</v>
      </c>
      <c r="M113" s="12" t="s">
        <v>63</v>
      </c>
      <c r="N113" s="12" t="s">
        <v>713</v>
      </c>
      <c r="O113" s="12" t="s">
        <v>234</v>
      </c>
      <c r="P113" s="12" t="n">
        <v>1</v>
      </c>
      <c r="Q113" s="12" t="s">
        <v>153</v>
      </c>
      <c r="R113" s="12" t="s">
        <v>77</v>
      </c>
      <c r="S113" s="12" t="s">
        <v>235</v>
      </c>
      <c r="T113" s="12" t="s">
        <v>191</v>
      </c>
      <c r="U113" s="12" t="s">
        <v>1309</v>
      </c>
      <c r="V113" s="12" t="s">
        <v>1310</v>
      </c>
      <c r="W113" s="12" t="s">
        <v>1012</v>
      </c>
      <c r="X113" s="12" t="s">
        <v>555</v>
      </c>
      <c r="Y113" s="12" t="s">
        <v>1311</v>
      </c>
      <c r="Z113" s="12" t="s">
        <v>54</v>
      </c>
      <c r="AA113" s="12" t="s">
        <v>216</v>
      </c>
      <c r="AB113" s="14" t="s">
        <v>26</v>
      </c>
      <c r="AC113" s="12" t="s">
        <v>162</v>
      </c>
      <c r="AD113" s="13" t="s">
        <v>1312</v>
      </c>
      <c r="AE113" s="12" t="s">
        <v>1313</v>
      </c>
      <c r="AF113" s="12" t="n">
        <v>2025</v>
      </c>
      <c r="AG113" s="12"/>
      <c r="AH113" s="12"/>
      <c r="AI113" s="12"/>
      <c r="AJ113" s="12" t="s">
        <v>1314</v>
      </c>
      <c r="AK113" s="12"/>
      <c r="AL113" s="12"/>
      <c r="AM113" s="12" t="s">
        <v>1313</v>
      </c>
      <c r="AN113" s="12"/>
      <c r="AO113" s="12" t="s">
        <v>488</v>
      </c>
      <c r="AP113" s="13" t="s">
        <v>1315</v>
      </c>
      <c r="AQ113" s="12" t="s">
        <v>230</v>
      </c>
      <c r="AR113" s="12"/>
      <c r="AS113" s="12"/>
      <c r="AT113" s="12"/>
      <c r="AU113" s="12"/>
      <c r="AV113" s="12"/>
      <c r="AW113" s="12" t="n">
        <v>0</v>
      </c>
      <c r="AX113" s="12" t="n">
        <v>3</v>
      </c>
      <c r="AY113" s="12" t="s">
        <v>308</v>
      </c>
      <c r="AZ113" s="12" t="n">
        <v>5</v>
      </c>
      <c r="BA113" s="12" t="n">
        <v>0</v>
      </c>
      <c r="BB113" s="12" t="s">
        <v>1316</v>
      </c>
      <c r="BC113" s="13"/>
      <c r="BD113" s="12"/>
      <c r="BE113" s="12" t="s">
        <v>174</v>
      </c>
    </row>
    <row r="114" customFormat="false" ht="35.05" hidden="false" customHeight="false" outlineLevel="0" collapsed="false">
      <c r="A114" s="12" t="s">
        <v>1317</v>
      </c>
      <c r="B114" s="13" t="s">
        <v>1318</v>
      </c>
      <c r="C114" s="13" t="s">
        <v>1319</v>
      </c>
      <c r="D114" s="12" t="s">
        <v>146</v>
      </c>
      <c r="E114" s="12" t="s">
        <v>22</v>
      </c>
      <c r="F114" s="12" t="s">
        <v>49</v>
      </c>
      <c r="G114" s="12" t="s">
        <v>1320</v>
      </c>
      <c r="H114" s="12" t="s">
        <v>946</v>
      </c>
      <c r="I114" s="12" t="s">
        <v>617</v>
      </c>
      <c r="J114" s="12" t="s">
        <v>947</v>
      </c>
      <c r="K114" s="12" t="s">
        <v>946</v>
      </c>
      <c r="L114" s="12" t="s">
        <v>20</v>
      </c>
      <c r="M114" s="12" t="s">
        <v>65</v>
      </c>
      <c r="N114" s="12" t="s">
        <v>948</v>
      </c>
      <c r="O114" s="12" t="s">
        <v>226</v>
      </c>
      <c r="P114" s="12" t="n">
        <v>1</v>
      </c>
      <c r="Q114" s="12" t="s">
        <v>153</v>
      </c>
      <c r="R114" s="12" t="s">
        <v>73</v>
      </c>
      <c r="S114" s="12" t="s">
        <v>227</v>
      </c>
      <c r="T114" s="12" t="s">
        <v>191</v>
      </c>
      <c r="U114" s="12" t="s">
        <v>552</v>
      </c>
      <c r="V114" s="12" t="s">
        <v>553</v>
      </c>
      <c r="W114" s="12" t="s">
        <v>554</v>
      </c>
      <c r="X114" s="12" t="s">
        <v>555</v>
      </c>
      <c r="Y114" s="12" t="s">
        <v>959</v>
      </c>
      <c r="Z114" s="12" t="s">
        <v>54</v>
      </c>
      <c r="AA114" s="12" t="s">
        <v>216</v>
      </c>
      <c r="AB114" s="17" t="s">
        <v>29</v>
      </c>
      <c r="AC114" s="12" t="s">
        <v>29</v>
      </c>
      <c r="AD114" s="13" t="s">
        <v>1321</v>
      </c>
      <c r="AE114" s="12" t="s">
        <v>1322</v>
      </c>
      <c r="AF114" s="12" t="n">
        <v>2022</v>
      </c>
      <c r="AG114" s="12" t="s">
        <v>841</v>
      </c>
      <c r="AH114" s="12" t="s">
        <v>1323</v>
      </c>
      <c r="AI114" s="12"/>
      <c r="AJ114" s="12"/>
      <c r="AK114" s="12"/>
      <c r="AL114" s="12"/>
      <c r="AM114" s="12" t="s">
        <v>1322</v>
      </c>
      <c r="AN114" s="12"/>
      <c r="AO114" s="12" t="s">
        <v>1324</v>
      </c>
      <c r="AP114" s="13" t="s">
        <v>1325</v>
      </c>
      <c r="AQ114" s="12" t="s">
        <v>183</v>
      </c>
      <c r="AR114" s="12"/>
      <c r="AS114" s="12"/>
      <c r="AT114" s="12"/>
      <c r="AU114" s="12"/>
      <c r="AV114" s="12"/>
      <c r="AW114" s="12" t="n">
        <v>0</v>
      </c>
      <c r="AX114" s="12" t="n">
        <v>3</v>
      </c>
      <c r="AY114" s="12" t="s">
        <v>308</v>
      </c>
      <c r="AZ114" s="12" t="n">
        <v>3</v>
      </c>
      <c r="BA114" s="12" t="n">
        <v>0</v>
      </c>
      <c r="BB114" s="12" t="s">
        <v>1326</v>
      </c>
      <c r="BC114" s="13"/>
      <c r="BD114" s="12"/>
      <c r="BE114" s="12" t="s">
        <v>174</v>
      </c>
    </row>
    <row r="115" customFormat="false" ht="46.25" hidden="false" customHeight="false" outlineLevel="0" collapsed="false">
      <c r="A115" s="12" t="s">
        <v>1327</v>
      </c>
      <c r="B115" s="13" t="s">
        <v>1328</v>
      </c>
      <c r="C115" s="13" t="s">
        <v>1329</v>
      </c>
      <c r="D115" s="12" t="s">
        <v>146</v>
      </c>
      <c r="E115" s="12" t="s">
        <v>22</v>
      </c>
      <c r="F115" s="12" t="s">
        <v>49</v>
      </c>
      <c r="G115" s="12" t="s">
        <v>1330</v>
      </c>
      <c r="H115" s="12" t="s">
        <v>946</v>
      </c>
      <c r="I115" s="12" t="s">
        <v>617</v>
      </c>
      <c r="J115" s="12" t="s">
        <v>947</v>
      </c>
      <c r="K115" s="12" t="s">
        <v>946</v>
      </c>
      <c r="L115" s="12" t="s">
        <v>20</v>
      </c>
      <c r="M115" s="12" t="s">
        <v>65</v>
      </c>
      <c r="N115" s="12" t="s">
        <v>948</v>
      </c>
      <c r="O115" s="12" t="s">
        <v>304</v>
      </c>
      <c r="P115" s="12" t="n">
        <v>1</v>
      </c>
      <c r="Q115" s="12" t="s">
        <v>153</v>
      </c>
      <c r="R115" s="12" t="s">
        <v>80</v>
      </c>
      <c r="S115" s="12" t="s">
        <v>1331</v>
      </c>
      <c r="T115" s="12" t="s">
        <v>191</v>
      </c>
      <c r="U115" s="12" t="s">
        <v>552</v>
      </c>
      <c r="V115" s="12" t="s">
        <v>553</v>
      </c>
      <c r="W115" s="12" t="s">
        <v>554</v>
      </c>
      <c r="X115" s="12" t="s">
        <v>555</v>
      </c>
      <c r="Y115" s="12" t="s">
        <v>1332</v>
      </c>
      <c r="Z115" s="12" t="s">
        <v>54</v>
      </c>
      <c r="AA115" s="12" t="s">
        <v>216</v>
      </c>
      <c r="AB115" s="14" t="s">
        <v>26</v>
      </c>
      <c r="AC115" s="12" t="s">
        <v>162</v>
      </c>
      <c r="AD115" s="13" t="s">
        <v>1333</v>
      </c>
      <c r="AE115" s="12" t="s">
        <v>541</v>
      </c>
      <c r="AF115" s="12" t="n">
        <v>2025</v>
      </c>
      <c r="AG115" s="12"/>
      <c r="AH115" s="12"/>
      <c r="AI115" s="12"/>
      <c r="AJ115" s="12" t="s">
        <v>1334</v>
      </c>
      <c r="AK115" s="12"/>
      <c r="AL115" s="12"/>
      <c r="AM115" s="12" t="s">
        <v>541</v>
      </c>
      <c r="AN115" s="12"/>
      <c r="AO115" s="12" t="s">
        <v>488</v>
      </c>
      <c r="AP115" s="13" t="s">
        <v>1335</v>
      </c>
      <c r="AQ115" s="12" t="s">
        <v>169</v>
      </c>
      <c r="AR115" s="12"/>
      <c r="AS115" s="12"/>
      <c r="AT115" s="12"/>
      <c r="AU115" s="12"/>
      <c r="AV115" s="12"/>
      <c r="AW115" s="12" t="n">
        <v>0</v>
      </c>
      <c r="AX115" s="12" t="n">
        <v>1</v>
      </c>
      <c r="AY115" s="12" t="s">
        <v>805</v>
      </c>
      <c r="AZ115" s="12" t="n">
        <v>3</v>
      </c>
      <c r="BA115" s="12" t="n">
        <v>0</v>
      </c>
      <c r="BB115" s="12" t="s">
        <v>1336</v>
      </c>
      <c r="BC115" s="13" t="s">
        <v>1337</v>
      </c>
      <c r="BD115" s="12"/>
      <c r="BE115" s="12" t="s">
        <v>174</v>
      </c>
    </row>
    <row r="116" customFormat="false" ht="35.05" hidden="false" customHeight="false" outlineLevel="0" collapsed="false">
      <c r="A116" s="12" t="s">
        <v>1338</v>
      </c>
      <c r="B116" s="13" t="s">
        <v>1339</v>
      </c>
      <c r="C116" s="13" t="s">
        <v>1340</v>
      </c>
      <c r="D116" s="12" t="s">
        <v>146</v>
      </c>
      <c r="E116" s="12" t="s">
        <v>22</v>
      </c>
      <c r="F116" s="12" t="s">
        <v>49</v>
      </c>
      <c r="G116" s="12" t="s">
        <v>1341</v>
      </c>
      <c r="H116" s="12" t="s">
        <v>1185</v>
      </c>
      <c r="I116" s="12" t="s">
        <v>617</v>
      </c>
      <c r="J116" s="12" t="s">
        <v>1186</v>
      </c>
      <c r="K116" s="12" t="s">
        <v>1185</v>
      </c>
      <c r="L116" s="12" t="s">
        <v>20</v>
      </c>
      <c r="M116" s="12" t="s">
        <v>63</v>
      </c>
      <c r="N116" s="12" t="s">
        <v>1187</v>
      </c>
      <c r="O116" s="12" t="s">
        <v>304</v>
      </c>
      <c r="P116" s="12" t="n">
        <v>1</v>
      </c>
      <c r="Q116" s="12" t="s">
        <v>153</v>
      </c>
      <c r="R116" s="12" t="s">
        <v>80</v>
      </c>
      <c r="S116" s="12" t="s">
        <v>246</v>
      </c>
      <c r="T116" s="12" t="s">
        <v>191</v>
      </c>
      <c r="U116" s="12" t="s">
        <v>552</v>
      </c>
      <c r="V116" s="12" t="s">
        <v>553</v>
      </c>
      <c r="W116" s="12" t="s">
        <v>554</v>
      </c>
      <c r="X116" s="12" t="s">
        <v>555</v>
      </c>
      <c r="Y116" s="12" t="s">
        <v>553</v>
      </c>
      <c r="Z116" s="12" t="s">
        <v>54</v>
      </c>
      <c r="AA116" s="12" t="s">
        <v>216</v>
      </c>
      <c r="AB116" s="18" t="s">
        <v>30</v>
      </c>
      <c r="AC116" s="12" t="s">
        <v>380</v>
      </c>
      <c r="AD116" s="13" t="s">
        <v>1342</v>
      </c>
      <c r="AE116" s="12" t="s">
        <v>1343</v>
      </c>
      <c r="AF116" s="12" t="n">
        <v>2022</v>
      </c>
      <c r="AG116" s="12" t="s">
        <v>1344</v>
      </c>
      <c r="AH116" s="12" t="s">
        <v>1344</v>
      </c>
      <c r="AI116" s="12"/>
      <c r="AJ116" s="12"/>
      <c r="AK116" s="12"/>
      <c r="AL116" s="12"/>
      <c r="AM116" s="12" t="s">
        <v>1343</v>
      </c>
      <c r="AN116" s="12"/>
      <c r="AO116" s="12" t="s">
        <v>1016</v>
      </c>
      <c r="AP116" s="13"/>
      <c r="AQ116" s="12" t="s">
        <v>183</v>
      </c>
      <c r="AR116" s="12"/>
      <c r="AS116" s="12"/>
      <c r="AT116" s="12"/>
      <c r="AU116" s="12"/>
      <c r="AV116" s="12"/>
      <c r="AW116" s="12" t="n">
        <v>0</v>
      </c>
      <c r="AX116" s="12" t="n">
        <v>3</v>
      </c>
      <c r="AY116" s="12" t="s">
        <v>308</v>
      </c>
      <c r="AZ116" s="12" t="n">
        <v>4</v>
      </c>
      <c r="BA116" s="12" t="n">
        <v>0</v>
      </c>
      <c r="BB116" s="12" t="s">
        <v>1345</v>
      </c>
      <c r="BC116" s="13"/>
      <c r="BD116" s="12"/>
      <c r="BE116" s="12" t="s">
        <v>174</v>
      </c>
    </row>
    <row r="117" customFormat="false" ht="35.05" hidden="false" customHeight="false" outlineLevel="0" collapsed="false">
      <c r="A117" s="12" t="s">
        <v>1346</v>
      </c>
      <c r="B117" s="13" t="s">
        <v>1347</v>
      </c>
      <c r="C117" s="13" t="s">
        <v>1348</v>
      </c>
      <c r="D117" s="12" t="s">
        <v>146</v>
      </c>
      <c r="E117" s="12" t="s">
        <v>23</v>
      </c>
      <c r="F117" s="12" t="s">
        <v>50</v>
      </c>
      <c r="G117" s="12" t="s">
        <v>1349</v>
      </c>
      <c r="H117" s="12" t="s">
        <v>831</v>
      </c>
      <c r="I117" s="12" t="s">
        <v>617</v>
      </c>
      <c r="J117" s="12" t="s">
        <v>832</v>
      </c>
      <c r="K117" s="12" t="s">
        <v>831</v>
      </c>
      <c r="L117" s="12" t="s">
        <v>20</v>
      </c>
      <c r="M117" s="12" t="s">
        <v>66</v>
      </c>
      <c r="N117" s="12" t="s">
        <v>833</v>
      </c>
      <c r="O117" s="12" t="s">
        <v>234</v>
      </c>
      <c r="P117" s="12" t="n">
        <v>1</v>
      </c>
      <c r="Q117" s="12" t="s">
        <v>153</v>
      </c>
      <c r="R117" s="12" t="s">
        <v>77</v>
      </c>
      <c r="S117" s="12" t="s">
        <v>235</v>
      </c>
      <c r="T117" s="12" t="s">
        <v>191</v>
      </c>
      <c r="U117" s="12" t="s">
        <v>156</v>
      </c>
      <c r="V117" s="12" t="s">
        <v>157</v>
      </c>
      <c r="W117" s="12" t="s">
        <v>158</v>
      </c>
      <c r="X117" s="12" t="s">
        <v>159</v>
      </c>
      <c r="Y117" s="12" t="s">
        <v>180</v>
      </c>
      <c r="Z117" s="12" t="s">
        <v>52</v>
      </c>
      <c r="AA117" s="12" t="s">
        <v>161</v>
      </c>
      <c r="AB117" s="14" t="s">
        <v>26</v>
      </c>
      <c r="AC117" s="12" t="s">
        <v>162</v>
      </c>
      <c r="AD117" s="13" t="s">
        <v>162</v>
      </c>
      <c r="AE117" s="12" t="s">
        <v>248</v>
      </c>
      <c r="AF117" s="12"/>
      <c r="AG117" s="12"/>
      <c r="AH117" s="12"/>
      <c r="AI117" s="12"/>
      <c r="AJ117" s="12" t="s">
        <v>653</v>
      </c>
      <c r="AK117" s="12"/>
      <c r="AL117" s="12"/>
      <c r="AM117" s="12" t="s">
        <v>248</v>
      </c>
      <c r="AN117" s="12"/>
      <c r="AO117" s="12" t="s">
        <v>167</v>
      </c>
      <c r="AP117" s="13" t="s">
        <v>1350</v>
      </c>
      <c r="AQ117" s="12" t="s">
        <v>230</v>
      </c>
      <c r="AR117" s="12" t="n">
        <v>43565</v>
      </c>
      <c r="AS117" s="12" t="n">
        <v>6084</v>
      </c>
      <c r="AT117" s="12" t="s">
        <v>248</v>
      </c>
      <c r="AU117" s="12"/>
      <c r="AV117" s="12"/>
      <c r="AW117" s="12" t="n">
        <v>0</v>
      </c>
      <c r="AX117" s="12" t="n">
        <v>5</v>
      </c>
      <c r="AY117" s="12" t="s">
        <v>172</v>
      </c>
      <c r="AZ117" s="12" t="n">
        <v>6</v>
      </c>
      <c r="BA117" s="12" t="n">
        <v>6</v>
      </c>
      <c r="BB117" s="12" t="s">
        <v>173</v>
      </c>
      <c r="BC117" s="13"/>
      <c r="BD117" s="12"/>
      <c r="BE117" s="12" t="s">
        <v>174</v>
      </c>
    </row>
    <row r="118" customFormat="false" ht="23.85" hidden="false" customHeight="false" outlineLevel="0" collapsed="false">
      <c r="A118" s="12" t="s">
        <v>1351</v>
      </c>
      <c r="B118" s="13" t="s">
        <v>1352</v>
      </c>
      <c r="C118" s="13" t="s">
        <v>1353</v>
      </c>
      <c r="D118" s="12" t="s">
        <v>146</v>
      </c>
      <c r="E118" s="12" t="s">
        <v>23</v>
      </c>
      <c r="F118" s="12" t="s">
        <v>50</v>
      </c>
      <c r="G118" s="12" t="s">
        <v>1354</v>
      </c>
      <c r="H118" s="12" t="s">
        <v>946</v>
      </c>
      <c r="I118" s="12" t="s">
        <v>617</v>
      </c>
      <c r="J118" s="12" t="s">
        <v>947</v>
      </c>
      <c r="K118" s="12" t="s">
        <v>946</v>
      </c>
      <c r="L118" s="12" t="s">
        <v>20</v>
      </c>
      <c r="M118" s="12" t="s">
        <v>65</v>
      </c>
      <c r="N118" s="12" t="s">
        <v>948</v>
      </c>
      <c r="O118" s="12" t="s">
        <v>234</v>
      </c>
      <c r="P118" s="12" t="n">
        <v>1</v>
      </c>
      <c r="Q118" s="12" t="s">
        <v>153</v>
      </c>
      <c r="R118" s="12" t="s">
        <v>77</v>
      </c>
      <c r="S118" s="12" t="s">
        <v>235</v>
      </c>
      <c r="T118" s="12" t="s">
        <v>191</v>
      </c>
      <c r="U118" s="12" t="s">
        <v>1355</v>
      </c>
      <c r="V118" s="12" t="s">
        <v>553</v>
      </c>
      <c r="W118" s="12" t="s">
        <v>554</v>
      </c>
      <c r="X118" s="12" t="s">
        <v>555</v>
      </c>
      <c r="Y118" s="12" t="s">
        <v>553</v>
      </c>
      <c r="Z118" s="12" t="s">
        <v>54</v>
      </c>
      <c r="AA118" s="12" t="s">
        <v>216</v>
      </c>
      <c r="AB118" s="16" t="s">
        <v>28</v>
      </c>
      <c r="AC118" s="12" t="s">
        <v>262</v>
      </c>
      <c r="AD118" s="13" t="s">
        <v>1356</v>
      </c>
      <c r="AE118" s="12" t="s">
        <v>1357</v>
      </c>
      <c r="AF118" s="12" t="n">
        <v>2025</v>
      </c>
      <c r="AG118" s="12" t="s">
        <v>257</v>
      </c>
      <c r="AH118" s="12"/>
      <c r="AI118" s="12"/>
      <c r="AJ118" s="12"/>
      <c r="AK118" s="12"/>
      <c r="AL118" s="12"/>
      <c r="AM118" s="12" t="s">
        <v>1357</v>
      </c>
      <c r="AN118" s="12"/>
      <c r="AO118" s="12" t="s">
        <v>182</v>
      </c>
      <c r="AP118" s="13"/>
      <c r="AQ118" s="12" t="s">
        <v>183</v>
      </c>
      <c r="AR118" s="12"/>
      <c r="AS118" s="12"/>
      <c r="AT118" s="12"/>
      <c r="AU118" s="12"/>
      <c r="AV118" s="12"/>
      <c r="AW118" s="12" t="n">
        <v>0</v>
      </c>
      <c r="AX118" s="12" t="n">
        <v>3</v>
      </c>
      <c r="AY118" s="12" t="s">
        <v>308</v>
      </c>
      <c r="AZ118" s="12" t="n">
        <v>4</v>
      </c>
      <c r="BA118" s="12" t="n">
        <v>0</v>
      </c>
      <c r="BB118" s="12" t="s">
        <v>1358</v>
      </c>
      <c r="BC118" s="13"/>
      <c r="BD118" s="12"/>
      <c r="BE118" s="12" t="s">
        <v>174</v>
      </c>
    </row>
    <row r="119" customFormat="false" ht="23.85" hidden="false" customHeight="false" outlineLevel="0" collapsed="false">
      <c r="A119" s="12" t="s">
        <v>1359</v>
      </c>
      <c r="B119" s="13" t="s">
        <v>1360</v>
      </c>
      <c r="C119" s="13" t="s">
        <v>1361</v>
      </c>
      <c r="D119" s="12" t="s">
        <v>146</v>
      </c>
      <c r="E119" s="12" t="s">
        <v>23</v>
      </c>
      <c r="F119" s="12" t="s">
        <v>50</v>
      </c>
      <c r="G119" s="12" t="s">
        <v>1362</v>
      </c>
      <c r="H119" s="12" t="s">
        <v>1235</v>
      </c>
      <c r="I119" s="12" t="s">
        <v>617</v>
      </c>
      <c r="J119" s="12" t="s">
        <v>1236</v>
      </c>
      <c r="K119" s="12" t="s">
        <v>1235</v>
      </c>
      <c r="L119" s="12" t="s">
        <v>20</v>
      </c>
      <c r="M119" s="12" t="s">
        <v>64</v>
      </c>
      <c r="N119" s="12" t="s">
        <v>1237</v>
      </c>
      <c r="O119" s="12" t="s">
        <v>226</v>
      </c>
      <c r="P119" s="12" t="n">
        <v>1</v>
      </c>
      <c r="Q119" s="12" t="s">
        <v>153</v>
      </c>
      <c r="R119" s="12" t="s">
        <v>73</v>
      </c>
      <c r="S119" s="12" t="s">
        <v>227</v>
      </c>
      <c r="T119" s="12" t="s">
        <v>191</v>
      </c>
      <c r="U119" s="12" t="s">
        <v>1363</v>
      </c>
      <c r="V119" s="12" t="s">
        <v>60</v>
      </c>
      <c r="W119" s="12" t="s">
        <v>60</v>
      </c>
      <c r="X119" s="12" t="s">
        <v>555</v>
      </c>
      <c r="Y119" s="12" t="s">
        <v>1364</v>
      </c>
      <c r="Z119" s="12" t="s">
        <v>54</v>
      </c>
      <c r="AA119" s="12" t="s">
        <v>216</v>
      </c>
      <c r="AB119" s="18" t="s">
        <v>30</v>
      </c>
      <c r="AC119" s="12" t="s">
        <v>380</v>
      </c>
      <c r="AD119" s="13" t="s">
        <v>1365</v>
      </c>
      <c r="AE119" s="12" t="s">
        <v>1044</v>
      </c>
      <c r="AF119" s="12" t="n">
        <v>2018</v>
      </c>
      <c r="AG119" s="12" t="s">
        <v>1366</v>
      </c>
      <c r="AH119" s="12"/>
      <c r="AI119" s="12"/>
      <c r="AJ119" s="12"/>
      <c r="AK119" s="12"/>
      <c r="AL119" s="12"/>
      <c r="AM119" s="12" t="s">
        <v>1044</v>
      </c>
      <c r="AN119" s="12"/>
      <c r="AO119" s="12" t="s">
        <v>793</v>
      </c>
      <c r="AP119" s="13" t="s">
        <v>1367</v>
      </c>
      <c r="AQ119" s="12" t="s">
        <v>183</v>
      </c>
      <c r="AR119" s="12"/>
      <c r="AS119" s="12"/>
      <c r="AT119" s="12"/>
      <c r="AU119" s="12"/>
      <c r="AV119" s="12"/>
      <c r="AW119" s="12" t="n">
        <v>0</v>
      </c>
      <c r="AX119" s="12" t="n">
        <v>3</v>
      </c>
      <c r="AY119" s="12" t="s">
        <v>308</v>
      </c>
      <c r="AZ119" s="12" t="n">
        <v>5</v>
      </c>
      <c r="BA119" s="12" t="n">
        <v>0</v>
      </c>
      <c r="BB119" s="12" t="s">
        <v>1368</v>
      </c>
      <c r="BC119" s="13"/>
      <c r="BD119" s="12"/>
      <c r="BE119" s="12" t="s">
        <v>174</v>
      </c>
    </row>
  </sheetData>
  <autoFilter ref="A1:BE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10"/>
    <col collapsed="false" customWidth="true" hidden="false" outlineLevel="0" max="5" min="5" style="0" width="16"/>
    <col collapsed="false" customWidth="true" hidden="false" outlineLevel="0" max="6" min="6" style="0" width="11"/>
    <col collapsed="false" customWidth="true" hidden="false" outlineLevel="0" max="7" min="7" style="0" width="70"/>
    <col collapsed="false" customWidth="true" hidden="false" outlineLevel="0" max="8" min="8" style="0" width="26"/>
    <col collapsed="false" customWidth="true" hidden="false" outlineLevel="0" max="9" min="9" style="0" width="13"/>
  </cols>
  <sheetData>
    <row r="1" customFormat="false" ht="15" hidden="false" customHeight="false" outlineLevel="0" collapsed="false">
      <c r="A1" s="11" t="s">
        <v>1369</v>
      </c>
      <c r="B1" s="11" t="s">
        <v>86</v>
      </c>
      <c r="C1" s="11" t="s">
        <v>1370</v>
      </c>
      <c r="D1" s="11" t="s">
        <v>1371</v>
      </c>
      <c r="E1" s="11" t="s">
        <v>1372</v>
      </c>
      <c r="F1" s="11" t="s">
        <v>1373</v>
      </c>
      <c r="G1" s="11" t="s">
        <v>1374</v>
      </c>
      <c r="H1" s="11" t="s">
        <v>1375</v>
      </c>
      <c r="I1" s="11" t="s">
        <v>1376</v>
      </c>
    </row>
    <row r="2" customFormat="false" ht="23.85" hidden="false" customHeight="false" outlineLevel="0" collapsed="false">
      <c r="A2" s="12" t="s">
        <v>1377</v>
      </c>
      <c r="B2" s="12" t="s">
        <v>143</v>
      </c>
      <c r="C2" s="12" t="s">
        <v>1378</v>
      </c>
      <c r="D2" s="12" t="s">
        <v>165</v>
      </c>
      <c r="E2" s="12" t="s">
        <v>1379</v>
      </c>
      <c r="F2" s="12" t="s">
        <v>1380</v>
      </c>
      <c r="G2" s="13" t="s">
        <v>1381</v>
      </c>
      <c r="H2" s="12" t="s">
        <v>1382</v>
      </c>
      <c r="I2" s="12" t="s">
        <v>174</v>
      </c>
    </row>
    <row r="3" customFormat="false" ht="23.85" hidden="false" customHeight="false" outlineLevel="0" collapsed="false">
      <c r="A3" s="12" t="s">
        <v>1383</v>
      </c>
      <c r="B3" s="12" t="s">
        <v>143</v>
      </c>
      <c r="C3" s="12" t="s">
        <v>1384</v>
      </c>
      <c r="D3" s="12" t="s">
        <v>166</v>
      </c>
      <c r="E3" s="12" t="s">
        <v>1385</v>
      </c>
      <c r="F3" s="12" t="s">
        <v>1386</v>
      </c>
      <c r="G3" s="13" t="s">
        <v>1387</v>
      </c>
      <c r="H3" s="12" t="s">
        <v>1382</v>
      </c>
      <c r="I3" s="12" t="s">
        <v>174</v>
      </c>
    </row>
    <row r="4" customFormat="false" ht="23.85" hidden="false" customHeight="false" outlineLevel="0" collapsed="false">
      <c r="A4" s="12" t="s">
        <v>1388</v>
      </c>
      <c r="B4" s="12" t="s">
        <v>143</v>
      </c>
      <c r="C4" s="12" t="s">
        <v>1389</v>
      </c>
      <c r="D4" s="12" t="s">
        <v>164</v>
      </c>
      <c r="E4" s="12" t="s">
        <v>1385</v>
      </c>
      <c r="F4" s="12" t="s">
        <v>1390</v>
      </c>
      <c r="G4" s="13" t="s">
        <v>1391</v>
      </c>
      <c r="H4" s="12" t="s">
        <v>1382</v>
      </c>
      <c r="I4" s="12" t="s">
        <v>174</v>
      </c>
    </row>
    <row r="5" customFormat="false" ht="23.85" hidden="false" customHeight="false" outlineLevel="0" collapsed="false">
      <c r="A5" s="12" t="s">
        <v>1392</v>
      </c>
      <c r="B5" s="12" t="s">
        <v>175</v>
      </c>
      <c r="C5" s="12" t="s">
        <v>1384</v>
      </c>
      <c r="D5" s="12" t="s">
        <v>166</v>
      </c>
      <c r="E5" s="12" t="s">
        <v>1385</v>
      </c>
      <c r="F5" s="12" t="s">
        <v>1386</v>
      </c>
      <c r="G5" s="13" t="s">
        <v>1393</v>
      </c>
      <c r="H5" s="12" t="s">
        <v>1382</v>
      </c>
      <c r="I5" s="12" t="s">
        <v>174</v>
      </c>
    </row>
    <row r="6" customFormat="false" ht="23.85" hidden="false" customHeight="false" outlineLevel="0" collapsed="false">
      <c r="A6" s="12" t="s">
        <v>1394</v>
      </c>
      <c r="B6" s="12" t="s">
        <v>175</v>
      </c>
      <c r="C6" s="12" t="s">
        <v>1389</v>
      </c>
      <c r="D6" s="12" t="s">
        <v>181</v>
      </c>
      <c r="E6" s="12" t="s">
        <v>1385</v>
      </c>
      <c r="F6" s="12" t="s">
        <v>1380</v>
      </c>
      <c r="G6" s="13" t="s">
        <v>1395</v>
      </c>
      <c r="H6" s="12" t="s">
        <v>1382</v>
      </c>
      <c r="I6" s="12" t="s">
        <v>174</v>
      </c>
    </row>
    <row r="7" customFormat="false" ht="23.85" hidden="false" customHeight="false" outlineLevel="0" collapsed="false">
      <c r="A7" s="12" t="s">
        <v>1396</v>
      </c>
      <c r="B7" s="12" t="s">
        <v>185</v>
      </c>
      <c r="C7" s="12" t="s">
        <v>1384</v>
      </c>
      <c r="D7" s="12" t="s">
        <v>166</v>
      </c>
      <c r="E7" s="12" t="s">
        <v>1385</v>
      </c>
      <c r="F7" s="12" t="s">
        <v>1386</v>
      </c>
      <c r="G7" s="13" t="s">
        <v>1397</v>
      </c>
      <c r="H7" s="12" t="s">
        <v>1382</v>
      </c>
      <c r="I7" s="12" t="s">
        <v>174</v>
      </c>
    </row>
    <row r="8" customFormat="false" ht="23.85" hidden="false" customHeight="false" outlineLevel="0" collapsed="false">
      <c r="A8" s="12" t="s">
        <v>1398</v>
      </c>
      <c r="B8" s="12" t="s">
        <v>185</v>
      </c>
      <c r="C8" s="12" t="s">
        <v>1389</v>
      </c>
      <c r="D8" s="12" t="s">
        <v>194</v>
      </c>
      <c r="E8" s="12" t="s">
        <v>1385</v>
      </c>
      <c r="F8" s="12" t="s">
        <v>1399</v>
      </c>
      <c r="G8" s="13" t="s">
        <v>1400</v>
      </c>
      <c r="H8" s="12" t="s">
        <v>1382</v>
      </c>
      <c r="I8" s="12" t="s">
        <v>174</v>
      </c>
    </row>
    <row r="9" customFormat="false" ht="23.85" hidden="false" customHeight="false" outlineLevel="0" collapsed="false">
      <c r="A9" s="12" t="s">
        <v>1401</v>
      </c>
      <c r="B9" s="12" t="s">
        <v>199</v>
      </c>
      <c r="C9" s="12" t="s">
        <v>1378</v>
      </c>
      <c r="D9" s="12" t="s">
        <v>207</v>
      </c>
      <c r="E9" s="12" t="s">
        <v>1385</v>
      </c>
      <c r="F9" s="12" t="s">
        <v>1402</v>
      </c>
      <c r="G9" s="13" t="s">
        <v>1403</v>
      </c>
      <c r="H9" s="12" t="s">
        <v>1382</v>
      </c>
      <c r="I9" s="12" t="s">
        <v>174</v>
      </c>
    </row>
    <row r="10" customFormat="false" ht="23.85" hidden="false" customHeight="false" outlineLevel="0" collapsed="false">
      <c r="A10" s="12" t="s">
        <v>1404</v>
      </c>
      <c r="B10" s="12" t="s">
        <v>199</v>
      </c>
      <c r="C10" s="12" t="s">
        <v>1389</v>
      </c>
      <c r="D10" s="12" t="s">
        <v>194</v>
      </c>
      <c r="E10" s="12" t="s">
        <v>1385</v>
      </c>
      <c r="F10" s="12" t="s">
        <v>1399</v>
      </c>
      <c r="G10" s="13" t="s">
        <v>1405</v>
      </c>
      <c r="H10" s="12" t="s">
        <v>1382</v>
      </c>
      <c r="I10" s="12" t="s">
        <v>174</v>
      </c>
    </row>
    <row r="11" customFormat="false" ht="23.85" hidden="false" customHeight="false" outlineLevel="0" collapsed="false">
      <c r="A11" s="12" t="s">
        <v>1406</v>
      </c>
      <c r="B11" s="12" t="s">
        <v>209</v>
      </c>
      <c r="C11" s="12" t="s">
        <v>1378</v>
      </c>
      <c r="D11" s="12" t="s">
        <v>218</v>
      </c>
      <c r="E11" s="12" t="s">
        <v>1385</v>
      </c>
      <c r="F11" s="12" t="s">
        <v>1407</v>
      </c>
      <c r="G11" s="13" t="s">
        <v>1408</v>
      </c>
      <c r="H11" s="12" t="s">
        <v>1382</v>
      </c>
      <c r="I11" s="12" t="s">
        <v>174</v>
      </c>
    </row>
    <row r="12" customFormat="false" ht="23.85" hidden="false" customHeight="false" outlineLevel="0" collapsed="false">
      <c r="A12" s="12" t="s">
        <v>1409</v>
      </c>
      <c r="B12" s="12" t="s">
        <v>209</v>
      </c>
      <c r="C12" s="12" t="s">
        <v>1384</v>
      </c>
      <c r="D12" s="12" t="s">
        <v>219</v>
      </c>
      <c r="E12" s="12" t="s">
        <v>1385</v>
      </c>
      <c r="F12" s="12" t="s">
        <v>1410</v>
      </c>
      <c r="G12" s="13" t="s">
        <v>1411</v>
      </c>
      <c r="H12" s="12" t="s">
        <v>1382</v>
      </c>
      <c r="I12" s="12" t="s">
        <v>174</v>
      </c>
    </row>
    <row r="13" customFormat="false" ht="23.85" hidden="false" customHeight="false" outlineLevel="0" collapsed="false">
      <c r="A13" s="12" t="s">
        <v>1412</v>
      </c>
      <c r="B13" s="12" t="s">
        <v>209</v>
      </c>
      <c r="C13" s="12" t="s">
        <v>1413</v>
      </c>
      <c r="D13" s="12" t="s">
        <v>166</v>
      </c>
      <c r="E13" s="12" t="s">
        <v>1385</v>
      </c>
      <c r="F13" s="12" t="s">
        <v>1386</v>
      </c>
      <c r="G13" s="13" t="s">
        <v>1414</v>
      </c>
      <c r="H13" s="12" t="s">
        <v>1382</v>
      </c>
      <c r="I13" s="12" t="s">
        <v>174</v>
      </c>
    </row>
    <row r="14" customFormat="false" ht="23.85" hidden="false" customHeight="false" outlineLevel="0" collapsed="false">
      <c r="A14" s="12" t="s">
        <v>1415</v>
      </c>
      <c r="B14" s="12" t="s">
        <v>209</v>
      </c>
      <c r="C14" s="12" t="s">
        <v>1389</v>
      </c>
      <c r="D14" s="12" t="s">
        <v>164</v>
      </c>
      <c r="E14" s="12" t="s">
        <v>1385</v>
      </c>
      <c r="F14" s="12" t="s">
        <v>1390</v>
      </c>
      <c r="G14" s="13" t="s">
        <v>1416</v>
      </c>
      <c r="H14" s="12" t="s">
        <v>1382</v>
      </c>
      <c r="I14" s="12" t="s">
        <v>174</v>
      </c>
    </row>
    <row r="15" customFormat="false" ht="23.85" hidden="false" customHeight="false" outlineLevel="0" collapsed="false">
      <c r="A15" s="12" t="s">
        <v>1417</v>
      </c>
      <c r="B15" s="12" t="s">
        <v>223</v>
      </c>
      <c r="C15" s="12" t="s">
        <v>1384</v>
      </c>
      <c r="D15" s="12" t="s">
        <v>228</v>
      </c>
      <c r="E15" s="12" t="s">
        <v>1379</v>
      </c>
      <c r="F15" s="12" t="s">
        <v>1418</v>
      </c>
      <c r="G15" s="13" t="s">
        <v>1419</v>
      </c>
      <c r="H15" s="12" t="s">
        <v>1382</v>
      </c>
      <c r="I15" s="12" t="s">
        <v>174</v>
      </c>
    </row>
    <row r="16" customFormat="false" ht="15" hidden="false" customHeight="false" outlineLevel="0" collapsed="false">
      <c r="A16" s="12" t="s">
        <v>1420</v>
      </c>
      <c r="B16" s="12" t="s">
        <v>223</v>
      </c>
      <c r="C16" s="12" t="s">
        <v>1389</v>
      </c>
      <c r="D16" s="12" t="s">
        <v>164</v>
      </c>
      <c r="E16" s="12" t="s">
        <v>1385</v>
      </c>
      <c r="F16" s="12" t="s">
        <v>1390</v>
      </c>
      <c r="G16" s="13" t="s">
        <v>1421</v>
      </c>
      <c r="H16" s="12" t="s">
        <v>1382</v>
      </c>
      <c r="I16" s="12" t="s">
        <v>174</v>
      </c>
    </row>
    <row r="17" customFormat="false" ht="23.85" hidden="false" customHeight="false" outlineLevel="0" collapsed="false">
      <c r="A17" s="12" t="s">
        <v>1422</v>
      </c>
      <c r="B17" s="12" t="s">
        <v>231</v>
      </c>
      <c r="C17" s="12" t="s">
        <v>1384</v>
      </c>
      <c r="D17" s="12" t="s">
        <v>236</v>
      </c>
      <c r="E17" s="12" t="s">
        <v>1385</v>
      </c>
      <c r="F17" s="12" t="s">
        <v>1380</v>
      </c>
      <c r="G17" s="13" t="s">
        <v>1423</v>
      </c>
      <c r="H17" s="12" t="s">
        <v>1382</v>
      </c>
      <c r="I17" s="12" t="s">
        <v>174</v>
      </c>
    </row>
    <row r="18" customFormat="false" ht="15" hidden="false" customHeight="false" outlineLevel="0" collapsed="false">
      <c r="A18" s="12" t="s">
        <v>1424</v>
      </c>
      <c r="B18" s="12" t="s">
        <v>231</v>
      </c>
      <c r="C18" s="12" t="s">
        <v>1389</v>
      </c>
      <c r="D18" s="12" t="s">
        <v>164</v>
      </c>
      <c r="E18" s="12" t="s">
        <v>1385</v>
      </c>
      <c r="F18" s="12" t="s">
        <v>1390</v>
      </c>
      <c r="G18" s="13" t="s">
        <v>1425</v>
      </c>
      <c r="H18" s="12" t="s">
        <v>1382</v>
      </c>
      <c r="I18" s="12" t="s">
        <v>174</v>
      </c>
    </row>
    <row r="19" customFormat="false" ht="23.85" hidden="false" customHeight="false" outlineLevel="0" collapsed="false">
      <c r="A19" s="12" t="s">
        <v>1426</v>
      </c>
      <c r="B19" s="12" t="s">
        <v>239</v>
      </c>
      <c r="C19" s="12" t="s">
        <v>1384</v>
      </c>
      <c r="D19" s="12" t="s">
        <v>249</v>
      </c>
      <c r="E19" s="12" t="s">
        <v>1385</v>
      </c>
      <c r="F19" s="12" t="s">
        <v>1427</v>
      </c>
      <c r="G19" s="13" t="s">
        <v>1428</v>
      </c>
      <c r="H19" s="12" t="s">
        <v>1382</v>
      </c>
      <c r="I19" s="12" t="s">
        <v>174</v>
      </c>
    </row>
    <row r="20" customFormat="false" ht="23.85" hidden="false" customHeight="false" outlineLevel="0" collapsed="false">
      <c r="A20" s="12" t="s">
        <v>1429</v>
      </c>
      <c r="B20" s="12" t="s">
        <v>239</v>
      </c>
      <c r="C20" s="12" t="s">
        <v>1389</v>
      </c>
      <c r="D20" s="12" t="s">
        <v>164</v>
      </c>
      <c r="E20" s="12" t="s">
        <v>1385</v>
      </c>
      <c r="F20" s="12" t="s">
        <v>1390</v>
      </c>
      <c r="G20" s="13" t="s">
        <v>1430</v>
      </c>
      <c r="H20" s="12" t="s">
        <v>1382</v>
      </c>
      <c r="I20" s="12" t="s">
        <v>174</v>
      </c>
    </row>
    <row r="21" customFormat="false" ht="23.85" hidden="false" customHeight="false" outlineLevel="0" collapsed="false">
      <c r="A21" s="12" t="s">
        <v>1431</v>
      </c>
      <c r="B21" s="12" t="s">
        <v>239</v>
      </c>
      <c r="C21" s="12" t="s">
        <v>1389</v>
      </c>
      <c r="D21" s="12" t="s">
        <v>248</v>
      </c>
      <c r="E21" s="12" t="s">
        <v>1385</v>
      </c>
      <c r="F21" s="12" t="s">
        <v>1432</v>
      </c>
      <c r="G21" s="13" t="s">
        <v>1433</v>
      </c>
      <c r="H21" s="12" t="s">
        <v>1434</v>
      </c>
      <c r="I21" s="12" t="s">
        <v>174</v>
      </c>
    </row>
    <row r="22" customFormat="false" ht="35.05" hidden="false" customHeight="false" outlineLevel="0" collapsed="false">
      <c r="A22" s="12" t="s">
        <v>1435</v>
      </c>
      <c r="B22" s="12" t="s">
        <v>251</v>
      </c>
      <c r="C22" s="12" t="s">
        <v>1384</v>
      </c>
      <c r="D22" s="12" t="s">
        <v>257</v>
      </c>
      <c r="E22" s="12" t="s">
        <v>1379</v>
      </c>
      <c r="F22" s="12" t="s">
        <v>1436</v>
      </c>
      <c r="G22" s="13" t="s">
        <v>1437</v>
      </c>
      <c r="H22" s="12" t="s">
        <v>1382</v>
      </c>
      <c r="I22" s="12" t="s">
        <v>174</v>
      </c>
    </row>
    <row r="23" customFormat="false" ht="23.85" hidden="false" customHeight="false" outlineLevel="0" collapsed="false">
      <c r="A23" s="12" t="s">
        <v>1438</v>
      </c>
      <c r="B23" s="12" t="s">
        <v>251</v>
      </c>
      <c r="C23" s="12" t="s">
        <v>1389</v>
      </c>
      <c r="D23" s="12" t="s">
        <v>164</v>
      </c>
      <c r="E23" s="12" t="s">
        <v>1385</v>
      </c>
      <c r="F23" s="12" t="s">
        <v>1390</v>
      </c>
      <c r="G23" s="13" t="s">
        <v>1439</v>
      </c>
      <c r="H23" s="12" t="s">
        <v>1382</v>
      </c>
      <c r="I23" s="12" t="s">
        <v>174</v>
      </c>
    </row>
    <row r="24" customFormat="false" ht="23.85" hidden="false" customHeight="false" outlineLevel="0" collapsed="false">
      <c r="A24" s="12" t="s">
        <v>1440</v>
      </c>
      <c r="B24" s="12" t="s">
        <v>251</v>
      </c>
      <c r="C24" s="12" t="s">
        <v>1389</v>
      </c>
      <c r="D24" s="12" t="s">
        <v>248</v>
      </c>
      <c r="E24" s="12" t="s">
        <v>1385</v>
      </c>
      <c r="F24" s="12" t="s">
        <v>1432</v>
      </c>
      <c r="G24" s="13" t="s">
        <v>1441</v>
      </c>
      <c r="H24" s="12" t="s">
        <v>1434</v>
      </c>
      <c r="I24" s="12" t="s">
        <v>174</v>
      </c>
    </row>
    <row r="25" customFormat="false" ht="23.85" hidden="false" customHeight="false" outlineLevel="0" collapsed="false">
      <c r="A25" s="12" t="s">
        <v>1442</v>
      </c>
      <c r="B25" s="12" t="s">
        <v>259</v>
      </c>
      <c r="C25" s="12" t="s">
        <v>1389</v>
      </c>
      <c r="D25" s="12" t="s">
        <v>164</v>
      </c>
      <c r="E25" s="12" t="s">
        <v>1385</v>
      </c>
      <c r="F25" s="12" t="s">
        <v>1390</v>
      </c>
      <c r="G25" s="13" t="s">
        <v>1443</v>
      </c>
      <c r="H25" s="12" t="s">
        <v>1382</v>
      </c>
      <c r="I25" s="12" t="s">
        <v>174</v>
      </c>
    </row>
    <row r="26" customFormat="false" ht="15" hidden="false" customHeight="false" outlineLevel="0" collapsed="false">
      <c r="A26" s="12" t="s">
        <v>1444</v>
      </c>
      <c r="B26" s="12" t="s">
        <v>259</v>
      </c>
      <c r="C26" s="12" t="s">
        <v>1378</v>
      </c>
      <c r="D26" s="12" t="n">
        <v>2023</v>
      </c>
      <c r="E26" s="12" t="s">
        <v>1445</v>
      </c>
      <c r="F26" s="12" t="s">
        <v>1390</v>
      </c>
      <c r="G26" s="13" t="s">
        <v>1446</v>
      </c>
      <c r="H26" s="12" t="s">
        <v>1447</v>
      </c>
      <c r="I26" s="12" t="s">
        <v>174</v>
      </c>
    </row>
    <row r="27" customFormat="false" ht="35.05" hidden="false" customHeight="false" outlineLevel="0" collapsed="false">
      <c r="A27" s="12" t="s">
        <v>1448</v>
      </c>
      <c r="B27" s="12" t="s">
        <v>265</v>
      </c>
      <c r="C27" s="12" t="s">
        <v>1384</v>
      </c>
      <c r="D27" s="12" t="n">
        <v>2023</v>
      </c>
      <c r="E27" s="12" t="s">
        <v>1445</v>
      </c>
      <c r="F27" s="12" t="s">
        <v>1427</v>
      </c>
      <c r="G27" s="13" t="s">
        <v>1449</v>
      </c>
      <c r="H27" s="12" t="s">
        <v>1382</v>
      </c>
      <c r="I27" s="12" t="s">
        <v>174</v>
      </c>
    </row>
    <row r="28" customFormat="false" ht="23.85" hidden="false" customHeight="false" outlineLevel="0" collapsed="false">
      <c r="A28" s="12" t="s">
        <v>1450</v>
      </c>
      <c r="B28" s="12" t="s">
        <v>265</v>
      </c>
      <c r="C28" s="12" t="s">
        <v>1389</v>
      </c>
      <c r="D28" s="12" t="s">
        <v>164</v>
      </c>
      <c r="E28" s="12" t="s">
        <v>1385</v>
      </c>
      <c r="F28" s="12" t="s">
        <v>1390</v>
      </c>
      <c r="G28" s="13" t="s">
        <v>1451</v>
      </c>
      <c r="H28" s="12" t="s">
        <v>1382</v>
      </c>
      <c r="I28" s="12" t="s">
        <v>174</v>
      </c>
    </row>
    <row r="29" customFormat="false" ht="23.85" hidden="false" customHeight="false" outlineLevel="0" collapsed="false">
      <c r="A29" s="12" t="s">
        <v>1452</v>
      </c>
      <c r="B29" s="12" t="s">
        <v>265</v>
      </c>
      <c r="C29" s="12" t="s">
        <v>1389</v>
      </c>
      <c r="D29" s="12" t="s">
        <v>248</v>
      </c>
      <c r="E29" s="12" t="s">
        <v>1385</v>
      </c>
      <c r="F29" s="12" t="s">
        <v>1432</v>
      </c>
      <c r="G29" s="13" t="s">
        <v>1453</v>
      </c>
      <c r="H29" s="12" t="s">
        <v>1434</v>
      </c>
      <c r="I29" s="12" t="s">
        <v>174</v>
      </c>
    </row>
    <row r="30" customFormat="false" ht="23.85" hidden="false" customHeight="false" outlineLevel="0" collapsed="false">
      <c r="A30" s="12" t="s">
        <v>1454</v>
      </c>
      <c r="B30" s="12" t="s">
        <v>271</v>
      </c>
      <c r="C30" s="12" t="s">
        <v>1389</v>
      </c>
      <c r="D30" s="12" t="s">
        <v>164</v>
      </c>
      <c r="E30" s="12" t="s">
        <v>1385</v>
      </c>
      <c r="F30" s="12" t="s">
        <v>1390</v>
      </c>
      <c r="G30" s="13" t="s">
        <v>1455</v>
      </c>
      <c r="H30" s="12" t="s">
        <v>1382</v>
      </c>
      <c r="I30" s="12" t="s">
        <v>174</v>
      </c>
    </row>
    <row r="31" customFormat="false" ht="35.05" hidden="false" customHeight="false" outlineLevel="0" collapsed="false">
      <c r="A31" s="12" t="s">
        <v>1456</v>
      </c>
      <c r="B31" s="12" t="s">
        <v>271</v>
      </c>
      <c r="C31" s="12" t="s">
        <v>1384</v>
      </c>
      <c r="D31" s="12" t="s">
        <v>164</v>
      </c>
      <c r="E31" s="12" t="s">
        <v>1385</v>
      </c>
      <c r="F31" s="12" t="s">
        <v>1390</v>
      </c>
      <c r="G31" s="13" t="s">
        <v>1457</v>
      </c>
      <c r="H31" s="12" t="s">
        <v>1434</v>
      </c>
      <c r="I31" s="12" t="s">
        <v>174</v>
      </c>
    </row>
    <row r="32" customFormat="false" ht="23.85" hidden="false" customHeight="false" outlineLevel="0" collapsed="false">
      <c r="A32" s="12" t="s">
        <v>1458</v>
      </c>
      <c r="B32" s="12" t="s">
        <v>271</v>
      </c>
      <c r="C32" s="12" t="s">
        <v>1389</v>
      </c>
      <c r="D32" s="12" t="s">
        <v>248</v>
      </c>
      <c r="E32" s="12" t="s">
        <v>1385</v>
      </c>
      <c r="F32" s="12" t="s">
        <v>1432</v>
      </c>
      <c r="G32" s="13" t="s">
        <v>1459</v>
      </c>
      <c r="H32" s="12" t="s">
        <v>1434</v>
      </c>
      <c r="I32" s="12" t="s">
        <v>174</v>
      </c>
    </row>
    <row r="33" customFormat="false" ht="23.85" hidden="false" customHeight="false" outlineLevel="0" collapsed="false">
      <c r="A33" s="12" t="s">
        <v>1460</v>
      </c>
      <c r="B33" s="12" t="s">
        <v>281</v>
      </c>
      <c r="C33" s="12" t="s">
        <v>1461</v>
      </c>
      <c r="D33" s="12" t="s">
        <v>295</v>
      </c>
      <c r="E33" s="12" t="s">
        <v>1379</v>
      </c>
      <c r="F33" s="12" t="s">
        <v>1462</v>
      </c>
      <c r="G33" s="13" t="s">
        <v>1463</v>
      </c>
      <c r="H33" s="12" t="s">
        <v>1382</v>
      </c>
      <c r="I33" s="12" t="s">
        <v>174</v>
      </c>
    </row>
    <row r="34" customFormat="false" ht="23.85" hidden="false" customHeight="false" outlineLevel="0" collapsed="false">
      <c r="A34" s="12" t="s">
        <v>1464</v>
      </c>
      <c r="B34" s="12" t="s">
        <v>281</v>
      </c>
      <c r="C34" s="12" t="s">
        <v>1384</v>
      </c>
      <c r="D34" s="12" t="s">
        <v>294</v>
      </c>
      <c r="E34" s="12" t="s">
        <v>1385</v>
      </c>
      <c r="F34" s="12" t="s">
        <v>1465</v>
      </c>
      <c r="G34" s="13" t="s">
        <v>1466</v>
      </c>
      <c r="H34" s="12" t="s">
        <v>1382</v>
      </c>
      <c r="I34" s="12" t="s">
        <v>174</v>
      </c>
    </row>
    <row r="35" customFormat="false" ht="15" hidden="false" customHeight="false" outlineLevel="0" collapsed="false">
      <c r="A35" s="12" t="s">
        <v>1467</v>
      </c>
      <c r="B35" s="12" t="s">
        <v>281</v>
      </c>
      <c r="C35" s="12" t="s">
        <v>1389</v>
      </c>
      <c r="D35" s="12" t="s">
        <v>294</v>
      </c>
      <c r="E35" s="12" t="s">
        <v>1385</v>
      </c>
      <c r="F35" s="12" t="s">
        <v>1465</v>
      </c>
      <c r="G35" s="13" t="s">
        <v>1468</v>
      </c>
      <c r="H35" s="12" t="s">
        <v>1382</v>
      </c>
      <c r="I35" s="12" t="s">
        <v>174</v>
      </c>
    </row>
    <row r="36" customFormat="false" ht="23.85" hidden="false" customHeight="false" outlineLevel="0" collapsed="false">
      <c r="A36" s="12" t="s">
        <v>1469</v>
      </c>
      <c r="B36" s="12" t="s">
        <v>300</v>
      </c>
      <c r="C36" s="12" t="s">
        <v>1378</v>
      </c>
      <c r="D36" s="12" t="n">
        <v>2024</v>
      </c>
      <c r="E36" s="12" t="s">
        <v>1445</v>
      </c>
      <c r="F36" s="12" t="s">
        <v>1470</v>
      </c>
      <c r="G36" s="13" t="s">
        <v>1471</v>
      </c>
      <c r="H36" s="12" t="s">
        <v>1382</v>
      </c>
      <c r="I36" s="12" t="s">
        <v>174</v>
      </c>
    </row>
    <row r="37" customFormat="false" ht="23.85" hidden="false" customHeight="false" outlineLevel="0" collapsed="false">
      <c r="A37" s="12" t="s">
        <v>1472</v>
      </c>
      <c r="B37" s="12" t="s">
        <v>300</v>
      </c>
      <c r="C37" s="12" t="s">
        <v>1389</v>
      </c>
      <c r="D37" s="12" t="s">
        <v>306</v>
      </c>
      <c r="E37" s="12" t="s">
        <v>1385</v>
      </c>
      <c r="F37" s="12" t="s">
        <v>1470</v>
      </c>
      <c r="G37" s="13" t="s">
        <v>1473</v>
      </c>
      <c r="H37" s="12" t="s">
        <v>1382</v>
      </c>
      <c r="I37" s="12" t="s">
        <v>174</v>
      </c>
    </row>
    <row r="38" customFormat="false" ht="23.85" hidden="false" customHeight="false" outlineLevel="0" collapsed="false">
      <c r="A38" s="12" t="s">
        <v>1474</v>
      </c>
      <c r="B38" s="12" t="s">
        <v>311</v>
      </c>
      <c r="C38" s="12" t="s">
        <v>1378</v>
      </c>
      <c r="D38" s="12" t="s">
        <v>321</v>
      </c>
      <c r="E38" s="12" t="s">
        <v>1385</v>
      </c>
      <c r="F38" s="12" t="s">
        <v>1475</v>
      </c>
      <c r="G38" s="13" t="s">
        <v>1476</v>
      </c>
      <c r="H38" s="12" t="s">
        <v>1382</v>
      </c>
      <c r="I38" s="12" t="s">
        <v>174</v>
      </c>
    </row>
    <row r="39" customFormat="false" ht="35.05" hidden="false" customHeight="false" outlineLevel="0" collapsed="false">
      <c r="A39" s="12" t="s">
        <v>1477</v>
      </c>
      <c r="B39" s="12" t="s">
        <v>311</v>
      </c>
      <c r="C39" s="12" t="s">
        <v>1384</v>
      </c>
      <c r="D39" s="12" t="s">
        <v>322</v>
      </c>
      <c r="E39" s="12" t="s">
        <v>1385</v>
      </c>
      <c r="F39" s="12" t="s">
        <v>1475</v>
      </c>
      <c r="G39" s="13" t="s">
        <v>1478</v>
      </c>
      <c r="H39" s="12" t="s">
        <v>1382</v>
      </c>
      <c r="I39" s="12" t="s">
        <v>174</v>
      </c>
    </row>
    <row r="40" customFormat="false" ht="35.05" hidden="false" customHeight="false" outlineLevel="0" collapsed="false">
      <c r="A40" s="12" t="s">
        <v>1479</v>
      </c>
      <c r="B40" s="12" t="s">
        <v>311</v>
      </c>
      <c r="C40" s="12" t="s">
        <v>1389</v>
      </c>
      <c r="D40" s="12" t="s">
        <v>320</v>
      </c>
      <c r="E40" s="12" t="s">
        <v>1385</v>
      </c>
      <c r="F40" s="12" t="s">
        <v>1480</v>
      </c>
      <c r="G40" s="13" t="s">
        <v>1481</v>
      </c>
      <c r="H40" s="12" t="s">
        <v>1382</v>
      </c>
      <c r="I40" s="12" t="s">
        <v>174</v>
      </c>
    </row>
    <row r="41" customFormat="false" ht="23.85" hidden="false" customHeight="false" outlineLevel="0" collapsed="false">
      <c r="A41" s="12" t="s">
        <v>1482</v>
      </c>
      <c r="B41" s="12" t="s">
        <v>325</v>
      </c>
      <c r="C41" s="12" t="s">
        <v>1378</v>
      </c>
      <c r="D41" s="12" t="s">
        <v>335</v>
      </c>
      <c r="E41" s="12" t="s">
        <v>1385</v>
      </c>
      <c r="F41" s="12" t="s">
        <v>1483</v>
      </c>
      <c r="G41" s="13" t="s">
        <v>1484</v>
      </c>
      <c r="H41" s="12" t="s">
        <v>1382</v>
      </c>
      <c r="I41" s="12" t="s">
        <v>174</v>
      </c>
    </row>
    <row r="42" customFormat="false" ht="23.85" hidden="false" customHeight="false" outlineLevel="0" collapsed="false">
      <c r="A42" s="12" t="s">
        <v>1485</v>
      </c>
      <c r="B42" s="12" t="s">
        <v>325</v>
      </c>
      <c r="C42" s="12" t="s">
        <v>1384</v>
      </c>
      <c r="D42" s="12" t="s">
        <v>334</v>
      </c>
      <c r="E42" s="12" t="s">
        <v>1385</v>
      </c>
      <c r="F42" s="12" t="s">
        <v>1486</v>
      </c>
      <c r="G42" s="13" t="s">
        <v>1487</v>
      </c>
      <c r="H42" s="12" t="s">
        <v>1382</v>
      </c>
      <c r="I42" s="12" t="s">
        <v>174</v>
      </c>
    </row>
    <row r="43" customFormat="false" ht="23.85" hidden="false" customHeight="false" outlineLevel="0" collapsed="false">
      <c r="A43" s="12" t="s">
        <v>1488</v>
      </c>
      <c r="B43" s="12" t="s">
        <v>325</v>
      </c>
      <c r="C43" s="12" t="s">
        <v>1389</v>
      </c>
      <c r="D43" s="12" t="s">
        <v>334</v>
      </c>
      <c r="E43" s="12" t="s">
        <v>1385</v>
      </c>
      <c r="F43" s="12" t="s">
        <v>1489</v>
      </c>
      <c r="G43" s="13" t="s">
        <v>1490</v>
      </c>
      <c r="H43" s="12" t="s">
        <v>1382</v>
      </c>
      <c r="I43" s="12" t="s">
        <v>174</v>
      </c>
    </row>
    <row r="44" customFormat="false" ht="35.05" hidden="false" customHeight="false" outlineLevel="0" collapsed="false">
      <c r="A44" s="12" t="s">
        <v>1491</v>
      </c>
      <c r="B44" s="12" t="s">
        <v>340</v>
      </c>
      <c r="C44" s="12" t="s">
        <v>1378</v>
      </c>
      <c r="D44" s="12" t="s">
        <v>350</v>
      </c>
      <c r="E44" s="12" t="s">
        <v>1379</v>
      </c>
      <c r="F44" s="12" t="s">
        <v>1492</v>
      </c>
      <c r="G44" s="13" t="s">
        <v>1493</v>
      </c>
      <c r="H44" s="12" t="s">
        <v>1382</v>
      </c>
      <c r="I44" s="12" t="s">
        <v>174</v>
      </c>
    </row>
    <row r="45" customFormat="false" ht="23.85" hidden="false" customHeight="false" outlineLevel="0" collapsed="false">
      <c r="A45" s="12" t="s">
        <v>1494</v>
      </c>
      <c r="B45" s="12" t="s">
        <v>340</v>
      </c>
      <c r="C45" s="12" t="s">
        <v>1389</v>
      </c>
      <c r="D45" s="12" t="s">
        <v>349</v>
      </c>
      <c r="E45" s="12" t="s">
        <v>1385</v>
      </c>
      <c r="F45" s="12" t="s">
        <v>1495</v>
      </c>
      <c r="G45" s="13" t="s">
        <v>1496</v>
      </c>
      <c r="H45" s="12" t="s">
        <v>1382</v>
      </c>
      <c r="I45" s="12" t="s">
        <v>174</v>
      </c>
    </row>
    <row r="46" customFormat="false" ht="23.85" hidden="false" customHeight="false" outlineLevel="0" collapsed="false">
      <c r="A46" s="12" t="s">
        <v>1497</v>
      </c>
      <c r="B46" s="12" t="s">
        <v>353</v>
      </c>
      <c r="C46" s="12" t="s">
        <v>1378</v>
      </c>
      <c r="D46" s="12" t="s">
        <v>360</v>
      </c>
      <c r="E46" s="12" t="s">
        <v>1385</v>
      </c>
      <c r="F46" s="12" t="s">
        <v>1498</v>
      </c>
      <c r="G46" s="13" t="s">
        <v>1499</v>
      </c>
      <c r="H46" s="12" t="s">
        <v>1382</v>
      </c>
      <c r="I46" s="12" t="s">
        <v>174</v>
      </c>
    </row>
    <row r="47" customFormat="false" ht="23.85" hidden="false" customHeight="false" outlineLevel="0" collapsed="false">
      <c r="A47" s="12" t="s">
        <v>1500</v>
      </c>
      <c r="B47" s="12" t="s">
        <v>353</v>
      </c>
      <c r="C47" s="12" t="s">
        <v>1501</v>
      </c>
      <c r="D47" s="12" t="s">
        <v>359</v>
      </c>
      <c r="E47" s="12" t="s">
        <v>1379</v>
      </c>
      <c r="F47" s="12" t="s">
        <v>1502</v>
      </c>
      <c r="G47" s="13" t="s">
        <v>1503</v>
      </c>
      <c r="H47" s="12" t="s">
        <v>1382</v>
      </c>
      <c r="I47" s="12" t="s">
        <v>174</v>
      </c>
    </row>
    <row r="48" customFormat="false" ht="23.85" hidden="false" customHeight="false" outlineLevel="0" collapsed="false">
      <c r="A48" s="12" t="s">
        <v>1504</v>
      </c>
      <c r="B48" s="12" t="s">
        <v>353</v>
      </c>
      <c r="C48" s="12" t="s">
        <v>1389</v>
      </c>
      <c r="D48" s="12" t="s">
        <v>359</v>
      </c>
      <c r="E48" s="12" t="s">
        <v>1379</v>
      </c>
      <c r="F48" s="12" t="s">
        <v>1502</v>
      </c>
      <c r="G48" s="13" t="s">
        <v>1505</v>
      </c>
      <c r="H48" s="12" t="s">
        <v>1382</v>
      </c>
      <c r="I48" s="12" t="s">
        <v>174</v>
      </c>
    </row>
    <row r="49" customFormat="false" ht="23.85" hidden="false" customHeight="false" outlineLevel="0" collapsed="false">
      <c r="A49" s="12" t="s">
        <v>1506</v>
      </c>
      <c r="B49" s="12" t="s">
        <v>365</v>
      </c>
      <c r="C49" s="12" t="s">
        <v>1378</v>
      </c>
      <c r="D49" s="12" t="s">
        <v>373</v>
      </c>
      <c r="E49" s="12" t="s">
        <v>1385</v>
      </c>
      <c r="F49" s="12" t="s">
        <v>1507</v>
      </c>
      <c r="G49" s="13" t="s">
        <v>1508</v>
      </c>
      <c r="H49" s="12" t="s">
        <v>1382</v>
      </c>
      <c r="I49" s="12" t="s">
        <v>174</v>
      </c>
    </row>
    <row r="50" customFormat="false" ht="23.85" hidden="false" customHeight="false" outlineLevel="0" collapsed="false">
      <c r="A50" s="12" t="s">
        <v>1509</v>
      </c>
      <c r="B50" s="12" t="s">
        <v>365</v>
      </c>
      <c r="C50" s="12" t="s">
        <v>1501</v>
      </c>
      <c r="D50" s="12" t="s">
        <v>359</v>
      </c>
      <c r="E50" s="12" t="s">
        <v>1379</v>
      </c>
      <c r="F50" s="12" t="s">
        <v>1502</v>
      </c>
      <c r="G50" s="13" t="s">
        <v>1510</v>
      </c>
      <c r="H50" s="12" t="s">
        <v>1382</v>
      </c>
      <c r="I50" s="12" t="s">
        <v>174</v>
      </c>
    </row>
    <row r="51" customFormat="false" ht="23.85" hidden="false" customHeight="false" outlineLevel="0" collapsed="false">
      <c r="A51" s="12" t="s">
        <v>1511</v>
      </c>
      <c r="B51" s="12" t="s">
        <v>365</v>
      </c>
      <c r="C51" s="12" t="s">
        <v>1389</v>
      </c>
      <c r="D51" s="12" t="s">
        <v>359</v>
      </c>
      <c r="E51" s="12" t="s">
        <v>1379</v>
      </c>
      <c r="F51" s="12" t="s">
        <v>1502</v>
      </c>
      <c r="G51" s="13" t="s">
        <v>1512</v>
      </c>
      <c r="H51" s="12" t="s">
        <v>1382</v>
      </c>
      <c r="I51" s="12" t="s">
        <v>174</v>
      </c>
    </row>
    <row r="52" customFormat="false" ht="23.85" hidden="false" customHeight="false" outlineLevel="0" collapsed="false">
      <c r="A52" s="12" t="s">
        <v>1513</v>
      </c>
      <c r="B52" s="12" t="s">
        <v>377</v>
      </c>
      <c r="C52" s="12" t="s">
        <v>1378</v>
      </c>
      <c r="D52" s="12" t="s">
        <v>383</v>
      </c>
      <c r="E52" s="12" t="s">
        <v>1385</v>
      </c>
      <c r="F52" s="12" t="s">
        <v>1514</v>
      </c>
      <c r="G52" s="13" t="s">
        <v>1515</v>
      </c>
      <c r="H52" s="12" t="s">
        <v>1382</v>
      </c>
      <c r="I52" s="12" t="s">
        <v>174</v>
      </c>
    </row>
    <row r="53" customFormat="false" ht="23.85" hidden="false" customHeight="false" outlineLevel="0" collapsed="false">
      <c r="A53" s="12" t="s">
        <v>1516</v>
      </c>
      <c r="B53" s="12" t="s">
        <v>377</v>
      </c>
      <c r="C53" s="12" t="s">
        <v>1389</v>
      </c>
      <c r="D53" s="12" t="s">
        <v>382</v>
      </c>
      <c r="E53" s="12" t="s">
        <v>1385</v>
      </c>
      <c r="F53" s="12" t="s">
        <v>1517</v>
      </c>
      <c r="G53" s="13" t="s">
        <v>1518</v>
      </c>
      <c r="H53" s="12" t="s">
        <v>1382</v>
      </c>
      <c r="I53" s="12" t="s">
        <v>174</v>
      </c>
    </row>
    <row r="54" customFormat="false" ht="23.85" hidden="false" customHeight="false" outlineLevel="0" collapsed="false">
      <c r="A54" s="12" t="s">
        <v>1519</v>
      </c>
      <c r="B54" s="12" t="s">
        <v>387</v>
      </c>
      <c r="C54" s="12" t="s">
        <v>1378</v>
      </c>
      <c r="D54" s="12" t="s">
        <v>399</v>
      </c>
      <c r="E54" s="12" t="s">
        <v>1385</v>
      </c>
      <c r="F54" s="12" t="s">
        <v>1520</v>
      </c>
      <c r="G54" s="13" t="s">
        <v>1521</v>
      </c>
      <c r="H54" s="12" t="s">
        <v>1382</v>
      </c>
      <c r="I54" s="12" t="s">
        <v>174</v>
      </c>
    </row>
    <row r="55" customFormat="false" ht="23.85" hidden="false" customHeight="false" outlineLevel="0" collapsed="false">
      <c r="A55" s="12" t="s">
        <v>1522</v>
      </c>
      <c r="B55" s="12" t="s">
        <v>387</v>
      </c>
      <c r="C55" s="12" t="s">
        <v>1461</v>
      </c>
      <c r="D55" s="12" t="s">
        <v>400</v>
      </c>
      <c r="E55" s="12" t="s">
        <v>1385</v>
      </c>
      <c r="F55" s="12" t="s">
        <v>1523</v>
      </c>
      <c r="G55" s="13" t="s">
        <v>1524</v>
      </c>
      <c r="H55" s="12" t="s">
        <v>1382</v>
      </c>
      <c r="I55" s="12" t="s">
        <v>174</v>
      </c>
    </row>
    <row r="56" customFormat="false" ht="23.85" hidden="false" customHeight="false" outlineLevel="0" collapsed="false">
      <c r="A56" s="12" t="s">
        <v>1525</v>
      </c>
      <c r="B56" s="12" t="s">
        <v>387</v>
      </c>
      <c r="C56" s="12" t="s">
        <v>1389</v>
      </c>
      <c r="D56" s="12" t="s">
        <v>398</v>
      </c>
      <c r="E56" s="12" t="s">
        <v>1385</v>
      </c>
      <c r="F56" s="12" t="s">
        <v>1526</v>
      </c>
      <c r="G56" s="13" t="s">
        <v>1527</v>
      </c>
      <c r="H56" s="12" t="s">
        <v>1382</v>
      </c>
      <c r="I56" s="12" t="s">
        <v>174</v>
      </c>
    </row>
    <row r="57" customFormat="false" ht="23.85" hidden="false" customHeight="false" outlineLevel="0" collapsed="false">
      <c r="A57" s="12" t="s">
        <v>1528</v>
      </c>
      <c r="B57" s="12" t="s">
        <v>406</v>
      </c>
      <c r="C57" s="12" t="s">
        <v>1378</v>
      </c>
      <c r="D57" s="12" t="s">
        <v>416</v>
      </c>
      <c r="E57" s="12" t="s">
        <v>1385</v>
      </c>
      <c r="F57" s="12" t="s">
        <v>1529</v>
      </c>
      <c r="G57" s="13" t="s">
        <v>1530</v>
      </c>
      <c r="H57" s="12" t="s">
        <v>1382</v>
      </c>
      <c r="I57" s="12" t="s">
        <v>174</v>
      </c>
    </row>
    <row r="58" customFormat="false" ht="23.85" hidden="false" customHeight="false" outlineLevel="0" collapsed="false">
      <c r="A58" s="12" t="s">
        <v>1531</v>
      </c>
      <c r="B58" s="12" t="s">
        <v>406</v>
      </c>
      <c r="C58" s="12" t="s">
        <v>1461</v>
      </c>
      <c r="D58" s="12" t="s">
        <v>417</v>
      </c>
      <c r="E58" s="12" t="s">
        <v>1379</v>
      </c>
      <c r="F58" s="12" t="s">
        <v>1532</v>
      </c>
      <c r="G58" s="13" t="s">
        <v>1533</v>
      </c>
      <c r="H58" s="12" t="s">
        <v>1382</v>
      </c>
      <c r="I58" s="12" t="s">
        <v>174</v>
      </c>
    </row>
    <row r="59" customFormat="false" ht="23.85" hidden="false" customHeight="false" outlineLevel="0" collapsed="false">
      <c r="A59" s="12" t="s">
        <v>1534</v>
      </c>
      <c r="B59" s="12" t="s">
        <v>406</v>
      </c>
      <c r="C59" s="12" t="s">
        <v>1501</v>
      </c>
      <c r="D59" s="12" t="s">
        <v>418</v>
      </c>
      <c r="E59" s="12" t="s">
        <v>1379</v>
      </c>
      <c r="F59" s="12" t="s">
        <v>1532</v>
      </c>
      <c r="G59" s="13" t="s">
        <v>1535</v>
      </c>
      <c r="H59" s="12" t="s">
        <v>1382</v>
      </c>
      <c r="I59" s="12" t="s">
        <v>174</v>
      </c>
    </row>
    <row r="60" customFormat="false" ht="23.85" hidden="false" customHeight="false" outlineLevel="0" collapsed="false">
      <c r="A60" s="12" t="s">
        <v>1536</v>
      </c>
      <c r="B60" s="12" t="s">
        <v>406</v>
      </c>
      <c r="C60" s="12" t="s">
        <v>1389</v>
      </c>
      <c r="D60" s="12" t="s">
        <v>415</v>
      </c>
      <c r="E60" s="12" t="s">
        <v>1385</v>
      </c>
      <c r="F60" s="12" t="s">
        <v>1537</v>
      </c>
      <c r="G60" s="13" t="s">
        <v>1538</v>
      </c>
      <c r="H60" s="12" t="s">
        <v>1382</v>
      </c>
      <c r="I60" s="12" t="s">
        <v>174</v>
      </c>
    </row>
    <row r="61" customFormat="false" ht="23.85" hidden="false" customHeight="false" outlineLevel="0" collapsed="false">
      <c r="A61" s="12" t="s">
        <v>1539</v>
      </c>
      <c r="B61" s="12" t="s">
        <v>421</v>
      </c>
      <c r="C61" s="12" t="s">
        <v>1378</v>
      </c>
      <c r="D61" s="12" t="s">
        <v>428</v>
      </c>
      <c r="E61" s="12" t="s">
        <v>1385</v>
      </c>
      <c r="F61" s="12" t="s">
        <v>1540</v>
      </c>
      <c r="G61" s="13" t="s">
        <v>1541</v>
      </c>
      <c r="H61" s="12" t="s">
        <v>1382</v>
      </c>
      <c r="I61" s="12" t="s">
        <v>174</v>
      </c>
    </row>
    <row r="62" customFormat="false" ht="15" hidden="false" customHeight="false" outlineLevel="0" collapsed="false">
      <c r="A62" s="12" t="s">
        <v>1542</v>
      </c>
      <c r="B62" s="12" t="s">
        <v>421</v>
      </c>
      <c r="C62" s="12" t="s">
        <v>1461</v>
      </c>
      <c r="D62" s="12" t="s">
        <v>429</v>
      </c>
      <c r="E62" s="12" t="s">
        <v>1379</v>
      </c>
      <c r="F62" s="12" t="s">
        <v>1540</v>
      </c>
      <c r="G62" s="13" t="s">
        <v>1543</v>
      </c>
      <c r="H62" s="12" t="s">
        <v>1382</v>
      </c>
      <c r="I62" s="12" t="s">
        <v>174</v>
      </c>
    </row>
    <row r="63" customFormat="false" ht="23.85" hidden="false" customHeight="false" outlineLevel="0" collapsed="false">
      <c r="A63" s="12" t="s">
        <v>1544</v>
      </c>
      <c r="B63" s="12" t="s">
        <v>421</v>
      </c>
      <c r="C63" s="12" t="s">
        <v>1501</v>
      </c>
      <c r="D63" s="12" t="s">
        <v>430</v>
      </c>
      <c r="E63" s="12" t="s">
        <v>1385</v>
      </c>
      <c r="F63" s="12" t="s">
        <v>1545</v>
      </c>
      <c r="G63" s="13" t="s">
        <v>1546</v>
      </c>
      <c r="H63" s="12" t="s">
        <v>1382</v>
      </c>
      <c r="I63" s="12" t="s">
        <v>174</v>
      </c>
    </row>
    <row r="64" customFormat="false" ht="23.85" hidden="false" customHeight="false" outlineLevel="0" collapsed="false">
      <c r="A64" s="12" t="s">
        <v>1547</v>
      </c>
      <c r="B64" s="12" t="s">
        <v>421</v>
      </c>
      <c r="C64" s="12" t="s">
        <v>1389</v>
      </c>
      <c r="D64" s="12" t="s">
        <v>427</v>
      </c>
      <c r="E64" s="12" t="s">
        <v>1385</v>
      </c>
      <c r="F64" s="12" t="s">
        <v>1548</v>
      </c>
      <c r="G64" s="13" t="s">
        <v>1549</v>
      </c>
      <c r="H64" s="12" t="s">
        <v>1382</v>
      </c>
      <c r="I64" s="12" t="s">
        <v>174</v>
      </c>
    </row>
    <row r="65" customFormat="false" ht="23.85" hidden="false" customHeight="false" outlineLevel="0" collapsed="false">
      <c r="A65" s="12" t="s">
        <v>1550</v>
      </c>
      <c r="B65" s="12" t="s">
        <v>433</v>
      </c>
      <c r="C65" s="12" t="s">
        <v>1378</v>
      </c>
      <c r="D65" s="12" t="s">
        <v>440</v>
      </c>
      <c r="E65" s="12" t="s">
        <v>1379</v>
      </c>
      <c r="F65" s="12" t="s">
        <v>1551</v>
      </c>
      <c r="G65" s="13" t="s">
        <v>1552</v>
      </c>
      <c r="H65" s="12" t="s">
        <v>1382</v>
      </c>
      <c r="I65" s="12" t="s">
        <v>174</v>
      </c>
    </row>
    <row r="66" customFormat="false" ht="23.85" hidden="false" customHeight="false" outlineLevel="0" collapsed="false">
      <c r="A66" s="12" t="s">
        <v>1553</v>
      </c>
      <c r="B66" s="12" t="s">
        <v>433</v>
      </c>
      <c r="C66" s="12" t="s">
        <v>1501</v>
      </c>
      <c r="D66" s="12" t="s">
        <v>440</v>
      </c>
      <c r="E66" s="12" t="s">
        <v>1379</v>
      </c>
      <c r="F66" s="12" t="s">
        <v>1554</v>
      </c>
      <c r="G66" s="13" t="s">
        <v>1555</v>
      </c>
      <c r="H66" s="12" t="s">
        <v>1382</v>
      </c>
      <c r="I66" s="12" t="s">
        <v>174</v>
      </c>
    </row>
    <row r="67" customFormat="false" ht="23.85" hidden="false" customHeight="false" outlineLevel="0" collapsed="false">
      <c r="A67" s="12" t="s">
        <v>1556</v>
      </c>
      <c r="B67" s="12" t="s">
        <v>433</v>
      </c>
      <c r="C67" s="12" t="s">
        <v>1389</v>
      </c>
      <c r="D67" s="12" t="s">
        <v>1557</v>
      </c>
      <c r="E67" s="12" t="s">
        <v>1385</v>
      </c>
      <c r="F67" s="12" t="s">
        <v>1558</v>
      </c>
      <c r="G67" s="13" t="s">
        <v>1559</v>
      </c>
      <c r="H67" s="12" t="s">
        <v>1382</v>
      </c>
      <c r="I67" s="12" t="s">
        <v>174</v>
      </c>
    </row>
    <row r="68" customFormat="false" ht="15" hidden="false" customHeight="false" outlineLevel="0" collapsed="false">
      <c r="A68" s="12" t="s">
        <v>1560</v>
      </c>
      <c r="B68" s="12" t="s">
        <v>433</v>
      </c>
      <c r="C68" s="12" t="s">
        <v>1389</v>
      </c>
      <c r="D68" s="12" t="n">
        <v>2018</v>
      </c>
      <c r="E68" s="12" t="s">
        <v>1445</v>
      </c>
      <c r="F68" s="12" t="s">
        <v>1561</v>
      </c>
      <c r="G68" s="13" t="s">
        <v>1562</v>
      </c>
      <c r="H68" s="12" t="s">
        <v>1447</v>
      </c>
      <c r="I68" s="12" t="s">
        <v>174</v>
      </c>
    </row>
    <row r="69" customFormat="false" ht="23.85" hidden="false" customHeight="false" outlineLevel="0" collapsed="false">
      <c r="A69" s="12" t="s">
        <v>1563</v>
      </c>
      <c r="B69" s="12" t="s">
        <v>442</v>
      </c>
      <c r="C69" s="12" t="s">
        <v>1378</v>
      </c>
      <c r="D69" s="12" t="s">
        <v>451</v>
      </c>
      <c r="E69" s="12" t="s">
        <v>1385</v>
      </c>
      <c r="F69" s="12" t="s">
        <v>1564</v>
      </c>
      <c r="G69" s="13" t="s">
        <v>1565</v>
      </c>
      <c r="H69" s="12" t="s">
        <v>1382</v>
      </c>
      <c r="I69" s="12" t="s">
        <v>174</v>
      </c>
    </row>
    <row r="70" customFormat="false" ht="23.85" hidden="false" customHeight="false" outlineLevel="0" collapsed="false">
      <c r="A70" s="12" t="s">
        <v>1566</v>
      </c>
      <c r="B70" s="12" t="s">
        <v>442</v>
      </c>
      <c r="C70" s="12" t="s">
        <v>1384</v>
      </c>
      <c r="D70" s="12" t="s">
        <v>452</v>
      </c>
      <c r="E70" s="12" t="s">
        <v>1385</v>
      </c>
      <c r="F70" s="12" t="s">
        <v>1567</v>
      </c>
      <c r="G70" s="13" t="s">
        <v>1568</v>
      </c>
      <c r="H70" s="12" t="s">
        <v>1382</v>
      </c>
      <c r="I70" s="12" t="s">
        <v>174</v>
      </c>
    </row>
    <row r="71" customFormat="false" ht="23.85" hidden="false" customHeight="false" outlineLevel="0" collapsed="false">
      <c r="A71" s="12" t="s">
        <v>1569</v>
      </c>
      <c r="B71" s="12" t="s">
        <v>442</v>
      </c>
      <c r="C71" s="12" t="s">
        <v>1389</v>
      </c>
      <c r="D71" s="12" t="s">
        <v>181</v>
      </c>
      <c r="E71" s="12" t="s">
        <v>1385</v>
      </c>
      <c r="F71" s="12" t="s">
        <v>1570</v>
      </c>
      <c r="G71" s="13" t="s">
        <v>1571</v>
      </c>
      <c r="H71" s="12" t="s">
        <v>1382</v>
      </c>
      <c r="I71" s="12" t="s">
        <v>174</v>
      </c>
    </row>
    <row r="72" customFormat="false" ht="23.85" hidden="false" customHeight="false" outlineLevel="0" collapsed="false">
      <c r="A72" s="12" t="s">
        <v>1572</v>
      </c>
      <c r="B72" s="12" t="s">
        <v>455</v>
      </c>
      <c r="C72" s="12" t="s">
        <v>1378</v>
      </c>
      <c r="D72" s="12" t="s">
        <v>462</v>
      </c>
      <c r="E72" s="12" t="s">
        <v>1385</v>
      </c>
      <c r="F72" s="12" t="s">
        <v>1573</v>
      </c>
      <c r="G72" s="13" t="s">
        <v>1574</v>
      </c>
      <c r="H72" s="12" t="s">
        <v>1382</v>
      </c>
      <c r="I72" s="12" t="s">
        <v>174</v>
      </c>
    </row>
    <row r="73" customFormat="false" ht="23.85" hidden="false" customHeight="false" outlineLevel="0" collapsed="false">
      <c r="A73" s="12" t="s">
        <v>1575</v>
      </c>
      <c r="B73" s="12" t="s">
        <v>455</v>
      </c>
      <c r="C73" s="12" t="s">
        <v>1384</v>
      </c>
      <c r="D73" s="12" t="s">
        <v>463</v>
      </c>
      <c r="E73" s="12" t="s">
        <v>1385</v>
      </c>
      <c r="F73" s="12" t="s">
        <v>1573</v>
      </c>
      <c r="G73" s="13" t="s">
        <v>1576</v>
      </c>
      <c r="H73" s="12" t="s">
        <v>1382</v>
      </c>
      <c r="I73" s="12" t="s">
        <v>174</v>
      </c>
    </row>
    <row r="74" customFormat="false" ht="23.85" hidden="false" customHeight="false" outlineLevel="0" collapsed="false">
      <c r="A74" s="12" t="s">
        <v>1577</v>
      </c>
      <c r="B74" s="12" t="s">
        <v>455</v>
      </c>
      <c r="C74" s="12" t="s">
        <v>1413</v>
      </c>
      <c r="D74" s="12" t="s">
        <v>464</v>
      </c>
      <c r="E74" s="12" t="s">
        <v>1385</v>
      </c>
      <c r="F74" s="12" t="s">
        <v>1578</v>
      </c>
      <c r="G74" s="13" t="s">
        <v>1579</v>
      </c>
      <c r="H74" s="12" t="s">
        <v>1382</v>
      </c>
      <c r="I74" s="12" t="s">
        <v>174</v>
      </c>
    </row>
    <row r="75" customFormat="false" ht="23.85" hidden="false" customHeight="false" outlineLevel="0" collapsed="false">
      <c r="A75" s="12" t="s">
        <v>1580</v>
      </c>
      <c r="B75" s="12" t="s">
        <v>455</v>
      </c>
      <c r="C75" s="12" t="s">
        <v>1389</v>
      </c>
      <c r="D75" s="12" t="s">
        <v>181</v>
      </c>
      <c r="E75" s="12" t="s">
        <v>1385</v>
      </c>
      <c r="F75" s="12" t="s">
        <v>1570</v>
      </c>
      <c r="G75" s="13" t="s">
        <v>1581</v>
      </c>
      <c r="H75" s="12" t="s">
        <v>1382</v>
      </c>
      <c r="I75" s="12" t="s">
        <v>174</v>
      </c>
    </row>
    <row r="76" customFormat="false" ht="23.85" hidden="false" customHeight="false" outlineLevel="0" collapsed="false">
      <c r="A76" s="12" t="s">
        <v>1582</v>
      </c>
      <c r="B76" s="12" t="s">
        <v>466</v>
      </c>
      <c r="C76" s="12" t="s">
        <v>1378</v>
      </c>
      <c r="D76" s="12" t="s">
        <v>476</v>
      </c>
      <c r="E76" s="12" t="s">
        <v>1379</v>
      </c>
      <c r="F76" s="12" t="s">
        <v>1583</v>
      </c>
      <c r="G76" s="13" t="s">
        <v>1584</v>
      </c>
      <c r="H76" s="12" t="s">
        <v>1382</v>
      </c>
      <c r="I76" s="12" t="s">
        <v>174</v>
      </c>
    </row>
    <row r="77" customFormat="false" ht="23.85" hidden="false" customHeight="false" outlineLevel="0" collapsed="false">
      <c r="A77" s="12" t="s">
        <v>1585</v>
      </c>
      <c r="B77" s="12" t="s">
        <v>466</v>
      </c>
      <c r="C77" s="12" t="s">
        <v>1389</v>
      </c>
      <c r="D77" s="12" t="s">
        <v>475</v>
      </c>
      <c r="E77" s="12" t="s">
        <v>1379</v>
      </c>
      <c r="F77" s="12" t="s">
        <v>1586</v>
      </c>
      <c r="G77" s="13" t="s">
        <v>1587</v>
      </c>
      <c r="H77" s="12" t="s">
        <v>1382</v>
      </c>
      <c r="I77" s="12" t="s">
        <v>174</v>
      </c>
    </row>
    <row r="78" customFormat="false" ht="23.85" hidden="false" customHeight="false" outlineLevel="0" collapsed="false">
      <c r="A78" s="12" t="s">
        <v>1588</v>
      </c>
      <c r="B78" s="12" t="s">
        <v>479</v>
      </c>
      <c r="C78" s="12" t="s">
        <v>1378</v>
      </c>
      <c r="D78" s="12" t="s">
        <v>487</v>
      </c>
      <c r="E78" s="12" t="s">
        <v>1385</v>
      </c>
      <c r="F78" s="12" t="s">
        <v>1589</v>
      </c>
      <c r="G78" s="13" t="s">
        <v>1590</v>
      </c>
      <c r="H78" s="12" t="s">
        <v>1382</v>
      </c>
      <c r="I78" s="12" t="s">
        <v>174</v>
      </c>
    </row>
    <row r="79" customFormat="false" ht="23.85" hidden="false" customHeight="false" outlineLevel="0" collapsed="false">
      <c r="A79" s="12" t="s">
        <v>1591</v>
      </c>
      <c r="B79" s="12" t="s">
        <v>479</v>
      </c>
      <c r="C79" s="12" t="s">
        <v>1389</v>
      </c>
      <c r="D79" s="12" t="s">
        <v>486</v>
      </c>
      <c r="E79" s="12" t="s">
        <v>1385</v>
      </c>
      <c r="F79" s="12" t="s">
        <v>1592</v>
      </c>
      <c r="G79" s="13" t="s">
        <v>1593</v>
      </c>
      <c r="H79" s="12" t="s">
        <v>1382</v>
      </c>
      <c r="I79" s="12" t="s">
        <v>174</v>
      </c>
    </row>
    <row r="80" customFormat="false" ht="23.85" hidden="false" customHeight="false" outlineLevel="0" collapsed="false">
      <c r="A80" s="12" t="s">
        <v>1594</v>
      </c>
      <c r="B80" s="12" t="s">
        <v>491</v>
      </c>
      <c r="C80" s="12" t="s">
        <v>1378</v>
      </c>
      <c r="D80" s="12" t="s">
        <v>497</v>
      </c>
      <c r="E80" s="12" t="s">
        <v>1385</v>
      </c>
      <c r="F80" s="12" t="s">
        <v>1595</v>
      </c>
      <c r="G80" s="13" t="s">
        <v>1596</v>
      </c>
      <c r="H80" s="12" t="s">
        <v>1382</v>
      </c>
      <c r="I80" s="12" t="s">
        <v>174</v>
      </c>
    </row>
    <row r="81" customFormat="false" ht="23.85" hidden="false" customHeight="false" outlineLevel="0" collapsed="false">
      <c r="A81" s="12" t="s">
        <v>1597</v>
      </c>
      <c r="B81" s="12" t="s">
        <v>491</v>
      </c>
      <c r="C81" s="12" t="s">
        <v>1389</v>
      </c>
      <c r="D81" s="12" t="s">
        <v>496</v>
      </c>
      <c r="E81" s="12" t="s">
        <v>1385</v>
      </c>
      <c r="F81" s="12" t="s">
        <v>1598</v>
      </c>
      <c r="G81" s="13" t="s">
        <v>1599</v>
      </c>
      <c r="H81" s="12" t="s">
        <v>1382</v>
      </c>
      <c r="I81" s="12" t="s">
        <v>174</v>
      </c>
    </row>
    <row r="82" customFormat="false" ht="23.85" hidden="false" customHeight="false" outlineLevel="0" collapsed="false">
      <c r="A82" s="12" t="s">
        <v>1600</v>
      </c>
      <c r="B82" s="12" t="s">
        <v>503</v>
      </c>
      <c r="C82" s="12" t="s">
        <v>1378</v>
      </c>
      <c r="D82" s="12" t="s">
        <v>512</v>
      </c>
      <c r="E82" s="12" t="s">
        <v>1385</v>
      </c>
      <c r="F82" s="12" t="s">
        <v>1601</v>
      </c>
      <c r="G82" s="13" t="s">
        <v>1602</v>
      </c>
      <c r="H82" s="12" t="s">
        <v>1382</v>
      </c>
      <c r="I82" s="12" t="s">
        <v>174</v>
      </c>
    </row>
    <row r="83" customFormat="false" ht="23.85" hidden="false" customHeight="false" outlineLevel="0" collapsed="false">
      <c r="A83" s="12" t="s">
        <v>1603</v>
      </c>
      <c r="B83" s="12" t="s">
        <v>503</v>
      </c>
      <c r="C83" s="12" t="s">
        <v>1461</v>
      </c>
      <c r="D83" s="12" t="s">
        <v>257</v>
      </c>
      <c r="E83" s="12" t="s">
        <v>1379</v>
      </c>
      <c r="F83" s="12" t="s">
        <v>1604</v>
      </c>
      <c r="G83" s="13" t="s">
        <v>1605</v>
      </c>
      <c r="H83" s="12" t="s">
        <v>1382</v>
      </c>
      <c r="I83" s="12" t="s">
        <v>174</v>
      </c>
    </row>
    <row r="84" customFormat="false" ht="23.85" hidden="false" customHeight="false" outlineLevel="0" collapsed="false">
      <c r="A84" s="12" t="s">
        <v>1606</v>
      </c>
      <c r="B84" s="12" t="s">
        <v>503</v>
      </c>
      <c r="C84" s="12" t="s">
        <v>1389</v>
      </c>
      <c r="D84" s="12" t="s">
        <v>511</v>
      </c>
      <c r="E84" s="12" t="s">
        <v>1385</v>
      </c>
      <c r="F84" s="12" t="s">
        <v>1607</v>
      </c>
      <c r="G84" s="13" t="s">
        <v>1608</v>
      </c>
      <c r="H84" s="12" t="s">
        <v>1382</v>
      </c>
      <c r="I84" s="12" t="s">
        <v>174</v>
      </c>
    </row>
    <row r="85" customFormat="false" ht="23.85" hidden="false" customHeight="false" outlineLevel="0" collapsed="false">
      <c r="A85" s="12" t="s">
        <v>1609</v>
      </c>
      <c r="B85" s="12" t="s">
        <v>516</v>
      </c>
      <c r="C85" s="12" t="s">
        <v>1378</v>
      </c>
      <c r="D85" s="12" t="s">
        <v>526</v>
      </c>
      <c r="E85" s="12" t="s">
        <v>1385</v>
      </c>
      <c r="F85" s="12" t="s">
        <v>1610</v>
      </c>
      <c r="G85" s="13" t="s">
        <v>1611</v>
      </c>
      <c r="H85" s="12" t="s">
        <v>1382</v>
      </c>
      <c r="I85" s="12" t="s">
        <v>174</v>
      </c>
    </row>
    <row r="86" customFormat="false" ht="23.85" hidden="false" customHeight="false" outlineLevel="0" collapsed="false">
      <c r="A86" s="12" t="s">
        <v>1612</v>
      </c>
      <c r="B86" s="12" t="s">
        <v>516</v>
      </c>
      <c r="C86" s="12" t="s">
        <v>1501</v>
      </c>
      <c r="D86" s="12" t="s">
        <v>527</v>
      </c>
      <c r="E86" s="12" t="s">
        <v>1385</v>
      </c>
      <c r="F86" s="12" t="s">
        <v>1613</v>
      </c>
      <c r="G86" s="13" t="s">
        <v>1614</v>
      </c>
      <c r="H86" s="12" t="s">
        <v>1382</v>
      </c>
      <c r="I86" s="12" t="s">
        <v>174</v>
      </c>
    </row>
    <row r="87" customFormat="false" ht="23.85" hidden="false" customHeight="false" outlineLevel="0" collapsed="false">
      <c r="A87" s="12" t="s">
        <v>1615</v>
      </c>
      <c r="B87" s="12" t="s">
        <v>516</v>
      </c>
      <c r="C87" s="12" t="s">
        <v>1384</v>
      </c>
      <c r="D87" s="12" t="s">
        <v>528</v>
      </c>
      <c r="E87" s="12" t="s">
        <v>1385</v>
      </c>
      <c r="F87" s="12" t="s">
        <v>1616</v>
      </c>
      <c r="G87" s="13" t="s">
        <v>1617</v>
      </c>
      <c r="H87" s="12" t="s">
        <v>1382</v>
      </c>
      <c r="I87" s="12" t="s">
        <v>174</v>
      </c>
    </row>
    <row r="88" customFormat="false" ht="23.85" hidden="false" customHeight="false" outlineLevel="0" collapsed="false">
      <c r="A88" s="12" t="s">
        <v>1618</v>
      </c>
      <c r="B88" s="12" t="s">
        <v>516</v>
      </c>
      <c r="C88" s="12" t="s">
        <v>1413</v>
      </c>
      <c r="D88" s="12" t="s">
        <v>529</v>
      </c>
      <c r="E88" s="12" t="s">
        <v>1385</v>
      </c>
      <c r="F88" s="12" t="s">
        <v>1619</v>
      </c>
      <c r="G88" s="13" t="s">
        <v>1620</v>
      </c>
      <c r="H88" s="12" t="s">
        <v>1382</v>
      </c>
      <c r="I88" s="12" t="s">
        <v>174</v>
      </c>
    </row>
    <row r="89" customFormat="false" ht="23.85" hidden="false" customHeight="false" outlineLevel="0" collapsed="false">
      <c r="A89" s="12" t="s">
        <v>1621</v>
      </c>
      <c r="B89" s="12" t="s">
        <v>516</v>
      </c>
      <c r="C89" s="12" t="s">
        <v>1389</v>
      </c>
      <c r="D89" s="12" t="s">
        <v>525</v>
      </c>
      <c r="E89" s="12" t="s">
        <v>1385</v>
      </c>
      <c r="F89" s="12" t="s">
        <v>1622</v>
      </c>
      <c r="G89" s="13" t="s">
        <v>1623</v>
      </c>
      <c r="H89" s="12" t="s">
        <v>1382</v>
      </c>
      <c r="I89" s="12" t="s">
        <v>174</v>
      </c>
    </row>
    <row r="90" customFormat="false" ht="23.85" hidden="false" customHeight="false" outlineLevel="0" collapsed="false">
      <c r="A90" s="12" t="s">
        <v>1624</v>
      </c>
      <c r="B90" s="12" t="s">
        <v>533</v>
      </c>
      <c r="C90" s="12" t="s">
        <v>1378</v>
      </c>
      <c r="D90" s="12" t="s">
        <v>542</v>
      </c>
      <c r="E90" s="12" t="s">
        <v>1385</v>
      </c>
      <c r="F90" s="12" t="s">
        <v>1625</v>
      </c>
      <c r="G90" s="13" t="s">
        <v>1626</v>
      </c>
      <c r="H90" s="12" t="s">
        <v>1382</v>
      </c>
      <c r="I90" s="12" t="s">
        <v>174</v>
      </c>
    </row>
    <row r="91" customFormat="false" ht="23.85" hidden="false" customHeight="false" outlineLevel="0" collapsed="false">
      <c r="A91" s="12" t="s">
        <v>1627</v>
      </c>
      <c r="B91" s="12" t="s">
        <v>533</v>
      </c>
      <c r="C91" s="12" t="s">
        <v>1384</v>
      </c>
      <c r="D91" s="12" t="s">
        <v>543</v>
      </c>
      <c r="E91" s="12" t="s">
        <v>1385</v>
      </c>
      <c r="F91" s="12" t="s">
        <v>1628</v>
      </c>
      <c r="G91" s="13" t="s">
        <v>1629</v>
      </c>
      <c r="H91" s="12" t="s">
        <v>1382</v>
      </c>
      <c r="I91" s="12" t="s">
        <v>174</v>
      </c>
    </row>
    <row r="92" customFormat="false" ht="23.85" hidden="false" customHeight="false" outlineLevel="0" collapsed="false">
      <c r="A92" s="12" t="s">
        <v>1630</v>
      </c>
      <c r="B92" s="12" t="s">
        <v>533</v>
      </c>
      <c r="C92" s="12" t="s">
        <v>1389</v>
      </c>
      <c r="D92" s="12" t="n">
        <v>2025</v>
      </c>
      <c r="E92" s="12" t="s">
        <v>1445</v>
      </c>
      <c r="F92" s="12" t="s">
        <v>1631</v>
      </c>
      <c r="G92" s="13" t="s">
        <v>1632</v>
      </c>
      <c r="H92" s="12" t="s">
        <v>1382</v>
      </c>
      <c r="I92" s="12" t="s">
        <v>174</v>
      </c>
    </row>
    <row r="93" customFormat="false" ht="23.85" hidden="false" customHeight="false" outlineLevel="0" collapsed="false">
      <c r="A93" s="12" t="s">
        <v>1633</v>
      </c>
      <c r="B93" s="12" t="s">
        <v>533</v>
      </c>
      <c r="C93" s="12" t="s">
        <v>1389</v>
      </c>
      <c r="D93" s="12" t="s">
        <v>541</v>
      </c>
      <c r="E93" s="12" t="s">
        <v>1379</v>
      </c>
      <c r="F93" s="12" t="s">
        <v>1634</v>
      </c>
      <c r="G93" s="13" t="s">
        <v>1635</v>
      </c>
      <c r="H93" s="12" t="s">
        <v>1447</v>
      </c>
      <c r="I93" s="12" t="s">
        <v>174</v>
      </c>
    </row>
    <row r="94" customFormat="false" ht="23.85" hidden="false" customHeight="false" outlineLevel="0" collapsed="false">
      <c r="A94" s="12" t="s">
        <v>1636</v>
      </c>
      <c r="B94" s="12" t="s">
        <v>547</v>
      </c>
      <c r="C94" s="12" t="s">
        <v>1378</v>
      </c>
      <c r="D94" s="12" t="s">
        <v>559</v>
      </c>
      <c r="E94" s="12" t="s">
        <v>1379</v>
      </c>
      <c r="F94" s="12" t="s">
        <v>1637</v>
      </c>
      <c r="G94" s="13" t="s">
        <v>1638</v>
      </c>
      <c r="H94" s="12" t="s">
        <v>1382</v>
      </c>
      <c r="I94" s="12" t="s">
        <v>174</v>
      </c>
    </row>
    <row r="95" customFormat="false" ht="15" hidden="false" customHeight="false" outlineLevel="0" collapsed="false">
      <c r="A95" s="12" t="s">
        <v>1639</v>
      </c>
      <c r="B95" s="12" t="s">
        <v>547</v>
      </c>
      <c r="C95" s="12" t="s">
        <v>1384</v>
      </c>
      <c r="D95" s="12" t="s">
        <v>559</v>
      </c>
      <c r="E95" s="12" t="s">
        <v>1379</v>
      </c>
      <c r="F95" s="12" t="s">
        <v>1640</v>
      </c>
      <c r="G95" s="13" t="s">
        <v>1641</v>
      </c>
      <c r="H95" s="12" t="s">
        <v>1382</v>
      </c>
      <c r="I95" s="12" t="s">
        <v>174</v>
      </c>
    </row>
    <row r="96" customFormat="false" ht="23.85" hidden="false" customHeight="false" outlineLevel="0" collapsed="false">
      <c r="A96" s="12" t="s">
        <v>1642</v>
      </c>
      <c r="B96" s="12" t="s">
        <v>547</v>
      </c>
      <c r="C96" s="12" t="s">
        <v>1389</v>
      </c>
      <c r="D96" s="12" t="s">
        <v>558</v>
      </c>
      <c r="E96" s="12" t="s">
        <v>1385</v>
      </c>
      <c r="F96" s="12" t="s">
        <v>1640</v>
      </c>
      <c r="G96" s="13" t="s">
        <v>1643</v>
      </c>
      <c r="H96" s="12" t="s">
        <v>1382</v>
      </c>
      <c r="I96" s="12" t="s">
        <v>174</v>
      </c>
    </row>
    <row r="97" customFormat="false" ht="23.85" hidden="false" customHeight="false" outlineLevel="0" collapsed="false">
      <c r="A97" s="12" t="s">
        <v>1644</v>
      </c>
      <c r="B97" s="12" t="s">
        <v>562</v>
      </c>
      <c r="C97" s="12" t="s">
        <v>1378</v>
      </c>
      <c r="D97" s="12" t="s">
        <v>568</v>
      </c>
      <c r="E97" s="12" t="s">
        <v>1385</v>
      </c>
      <c r="F97" s="12" t="s">
        <v>1645</v>
      </c>
      <c r="G97" s="13" t="s">
        <v>1646</v>
      </c>
      <c r="H97" s="12" t="s">
        <v>1382</v>
      </c>
      <c r="I97" s="12" t="s">
        <v>174</v>
      </c>
    </row>
    <row r="98" customFormat="false" ht="23.85" hidden="false" customHeight="false" outlineLevel="0" collapsed="false">
      <c r="A98" s="12" t="s">
        <v>1647</v>
      </c>
      <c r="B98" s="12" t="s">
        <v>562</v>
      </c>
      <c r="C98" s="12" t="s">
        <v>1384</v>
      </c>
      <c r="D98" s="12" t="s">
        <v>568</v>
      </c>
      <c r="E98" s="12" t="s">
        <v>1385</v>
      </c>
      <c r="F98" s="12" t="s">
        <v>1645</v>
      </c>
      <c r="G98" s="13" t="s">
        <v>1648</v>
      </c>
      <c r="H98" s="12" t="s">
        <v>1382</v>
      </c>
      <c r="I98" s="12" t="s">
        <v>174</v>
      </c>
    </row>
    <row r="99" customFormat="false" ht="23.85" hidden="false" customHeight="false" outlineLevel="0" collapsed="false">
      <c r="A99" s="12" t="s">
        <v>1649</v>
      </c>
      <c r="B99" s="12" t="s">
        <v>562</v>
      </c>
      <c r="C99" s="12" t="s">
        <v>1389</v>
      </c>
      <c r="D99" s="12" t="s">
        <v>164</v>
      </c>
      <c r="E99" s="12" t="s">
        <v>1385</v>
      </c>
      <c r="F99" s="12" t="s">
        <v>1390</v>
      </c>
      <c r="G99" s="13" t="s">
        <v>1650</v>
      </c>
      <c r="H99" s="12" t="s">
        <v>1382</v>
      </c>
      <c r="I99" s="12" t="s">
        <v>174</v>
      </c>
    </row>
    <row r="100" customFormat="false" ht="23.85" hidden="false" customHeight="false" outlineLevel="0" collapsed="false">
      <c r="A100" s="12" t="s">
        <v>1651</v>
      </c>
      <c r="B100" s="12" t="s">
        <v>562</v>
      </c>
      <c r="C100" s="12" t="s">
        <v>1389</v>
      </c>
      <c r="D100" s="12" t="s">
        <v>248</v>
      </c>
      <c r="E100" s="12" t="s">
        <v>1385</v>
      </c>
      <c r="F100" s="12" t="s">
        <v>1432</v>
      </c>
      <c r="G100" s="13" t="s">
        <v>1652</v>
      </c>
      <c r="H100" s="12" t="s">
        <v>1434</v>
      </c>
      <c r="I100" s="12" t="s">
        <v>174</v>
      </c>
    </row>
    <row r="101" customFormat="false" ht="23.85" hidden="false" customHeight="false" outlineLevel="0" collapsed="false">
      <c r="A101" s="12" t="s">
        <v>1653</v>
      </c>
      <c r="B101" s="12" t="s">
        <v>570</v>
      </c>
      <c r="C101" s="12" t="s">
        <v>1384</v>
      </c>
      <c r="D101" s="12" t="s">
        <v>577</v>
      </c>
      <c r="E101" s="12" t="s">
        <v>1385</v>
      </c>
      <c r="F101" s="12" t="s">
        <v>1654</v>
      </c>
      <c r="G101" s="13" t="s">
        <v>1655</v>
      </c>
      <c r="H101" s="12" t="s">
        <v>1382</v>
      </c>
      <c r="I101" s="12" t="s">
        <v>174</v>
      </c>
    </row>
    <row r="102" customFormat="false" ht="23.85" hidden="false" customHeight="false" outlineLevel="0" collapsed="false">
      <c r="A102" s="12" t="s">
        <v>1656</v>
      </c>
      <c r="B102" s="12" t="s">
        <v>570</v>
      </c>
      <c r="C102" s="12" t="s">
        <v>1413</v>
      </c>
      <c r="D102" s="12" t="s">
        <v>475</v>
      </c>
      <c r="E102" s="12" t="s">
        <v>1379</v>
      </c>
      <c r="F102" s="12" t="s">
        <v>1657</v>
      </c>
      <c r="G102" s="13" t="s">
        <v>1658</v>
      </c>
      <c r="H102" s="12" t="s">
        <v>1382</v>
      </c>
      <c r="I102" s="12" t="s">
        <v>174</v>
      </c>
    </row>
    <row r="103" customFormat="false" ht="23.85" hidden="false" customHeight="false" outlineLevel="0" collapsed="false">
      <c r="A103" s="12" t="s">
        <v>1659</v>
      </c>
      <c r="B103" s="12" t="s">
        <v>570</v>
      </c>
      <c r="C103" s="12" t="s">
        <v>1389</v>
      </c>
      <c r="D103" s="12" t="s">
        <v>1660</v>
      </c>
      <c r="E103" s="12" t="s">
        <v>1385</v>
      </c>
      <c r="F103" s="12" t="s">
        <v>1661</v>
      </c>
      <c r="G103" s="13" t="s">
        <v>1662</v>
      </c>
      <c r="H103" s="12" t="s">
        <v>1382</v>
      </c>
      <c r="I103" s="12" t="s">
        <v>174</v>
      </c>
    </row>
    <row r="104" customFormat="false" ht="15" hidden="false" customHeight="false" outlineLevel="0" collapsed="false">
      <c r="A104" s="12" t="s">
        <v>1663</v>
      </c>
      <c r="B104" s="12" t="s">
        <v>570</v>
      </c>
      <c r="C104" s="12" t="s">
        <v>1389</v>
      </c>
      <c r="D104" s="12" t="s">
        <v>541</v>
      </c>
      <c r="E104" s="12" t="s">
        <v>1379</v>
      </c>
      <c r="F104" s="12" t="s">
        <v>1634</v>
      </c>
      <c r="G104" s="13" t="s">
        <v>1664</v>
      </c>
      <c r="H104" s="12" t="s">
        <v>1447</v>
      </c>
      <c r="I104" s="12" t="s">
        <v>174</v>
      </c>
    </row>
    <row r="105" customFormat="false" ht="23.85" hidden="false" customHeight="false" outlineLevel="0" collapsed="false">
      <c r="A105" s="12" t="s">
        <v>1665</v>
      </c>
      <c r="B105" s="12" t="s">
        <v>579</v>
      </c>
      <c r="C105" s="12" t="s">
        <v>1378</v>
      </c>
      <c r="D105" s="12" t="s">
        <v>587</v>
      </c>
      <c r="E105" s="12" t="s">
        <v>1385</v>
      </c>
      <c r="F105" s="12" t="s">
        <v>1666</v>
      </c>
      <c r="G105" s="13" t="s">
        <v>1667</v>
      </c>
      <c r="H105" s="12" t="s">
        <v>1382</v>
      </c>
      <c r="I105" s="12" t="s">
        <v>174</v>
      </c>
    </row>
    <row r="106" customFormat="false" ht="23.85" hidden="false" customHeight="false" outlineLevel="0" collapsed="false">
      <c r="A106" s="12" t="s">
        <v>1668</v>
      </c>
      <c r="B106" s="12" t="s">
        <v>579</v>
      </c>
      <c r="C106" s="12" t="s">
        <v>1461</v>
      </c>
      <c r="D106" s="12" t="s">
        <v>587</v>
      </c>
      <c r="E106" s="12" t="s">
        <v>1385</v>
      </c>
      <c r="F106" s="12" t="s">
        <v>1666</v>
      </c>
      <c r="G106" s="13" t="s">
        <v>1669</v>
      </c>
      <c r="H106" s="12" t="s">
        <v>1382</v>
      </c>
      <c r="I106" s="12" t="s">
        <v>174</v>
      </c>
    </row>
    <row r="107" customFormat="false" ht="23.85" hidden="false" customHeight="false" outlineLevel="0" collapsed="false">
      <c r="A107" s="12" t="s">
        <v>1670</v>
      </c>
      <c r="B107" s="12" t="s">
        <v>579</v>
      </c>
      <c r="C107" s="12" t="s">
        <v>1389</v>
      </c>
      <c r="D107" s="12" t="s">
        <v>1204</v>
      </c>
      <c r="E107" s="12" t="s">
        <v>1379</v>
      </c>
      <c r="F107" s="12" t="s">
        <v>1671</v>
      </c>
      <c r="G107" s="13" t="s">
        <v>1672</v>
      </c>
      <c r="H107" s="12" t="s">
        <v>1382</v>
      </c>
      <c r="I107" s="12" t="s">
        <v>174</v>
      </c>
    </row>
    <row r="108" customFormat="false" ht="15" hidden="false" customHeight="false" outlineLevel="0" collapsed="false">
      <c r="A108" s="12" t="s">
        <v>1673</v>
      </c>
      <c r="B108" s="12" t="s">
        <v>579</v>
      </c>
      <c r="C108" s="12" t="s">
        <v>1389</v>
      </c>
      <c r="D108" s="12" t="n">
        <v>2021</v>
      </c>
      <c r="E108" s="12" t="s">
        <v>1445</v>
      </c>
      <c r="F108" s="12" t="s">
        <v>1666</v>
      </c>
      <c r="G108" s="13" t="s">
        <v>1674</v>
      </c>
      <c r="H108" s="12" t="s">
        <v>1447</v>
      </c>
      <c r="I108" s="12" t="s">
        <v>174</v>
      </c>
    </row>
    <row r="109" customFormat="false" ht="23.85" hidden="false" customHeight="false" outlineLevel="0" collapsed="false">
      <c r="A109" s="12" t="s">
        <v>1675</v>
      </c>
      <c r="B109" s="12" t="s">
        <v>591</v>
      </c>
      <c r="C109" s="12" t="s">
        <v>1378</v>
      </c>
      <c r="D109" s="12" t="s">
        <v>597</v>
      </c>
      <c r="E109" s="12" t="s">
        <v>1385</v>
      </c>
      <c r="F109" s="12" t="s">
        <v>1676</v>
      </c>
      <c r="G109" s="13" t="s">
        <v>1677</v>
      </c>
      <c r="H109" s="12" t="s">
        <v>1382</v>
      </c>
      <c r="I109" s="12" t="s">
        <v>174</v>
      </c>
    </row>
    <row r="110" customFormat="false" ht="23.85" hidden="false" customHeight="false" outlineLevel="0" collapsed="false">
      <c r="A110" s="12" t="s">
        <v>1678</v>
      </c>
      <c r="B110" s="12" t="s">
        <v>591</v>
      </c>
      <c r="C110" s="12" t="s">
        <v>1389</v>
      </c>
      <c r="D110" s="12" t="s">
        <v>597</v>
      </c>
      <c r="E110" s="12" t="s">
        <v>1385</v>
      </c>
      <c r="F110" s="12" t="s">
        <v>1676</v>
      </c>
      <c r="G110" s="13" t="s">
        <v>1679</v>
      </c>
      <c r="H110" s="12" t="s">
        <v>1382</v>
      </c>
      <c r="I110" s="12" t="s">
        <v>174</v>
      </c>
    </row>
    <row r="111" customFormat="false" ht="23.85" hidden="false" customHeight="false" outlineLevel="0" collapsed="false">
      <c r="A111" s="12" t="s">
        <v>1680</v>
      </c>
      <c r="B111" s="12" t="s">
        <v>601</v>
      </c>
      <c r="C111" s="12" t="s">
        <v>1378</v>
      </c>
      <c r="D111" s="12" t="s">
        <v>604</v>
      </c>
      <c r="E111" s="12" t="s">
        <v>1379</v>
      </c>
      <c r="F111" s="12" t="s">
        <v>1470</v>
      </c>
      <c r="G111" s="13" t="s">
        <v>1681</v>
      </c>
      <c r="H111" s="12" t="s">
        <v>1382</v>
      </c>
      <c r="I111" s="12" t="s">
        <v>174</v>
      </c>
    </row>
    <row r="112" customFormat="false" ht="23.85" hidden="false" customHeight="false" outlineLevel="0" collapsed="false">
      <c r="A112" s="12" t="s">
        <v>1682</v>
      </c>
      <c r="B112" s="12" t="s">
        <v>601</v>
      </c>
      <c r="C112" s="12" t="s">
        <v>1389</v>
      </c>
      <c r="D112" s="12" t="s">
        <v>306</v>
      </c>
      <c r="E112" s="12" t="s">
        <v>1385</v>
      </c>
      <c r="F112" s="12" t="s">
        <v>1470</v>
      </c>
      <c r="G112" s="13" t="s">
        <v>1683</v>
      </c>
      <c r="H112" s="12" t="s">
        <v>1382</v>
      </c>
      <c r="I112" s="12" t="s">
        <v>174</v>
      </c>
    </row>
    <row r="113" customFormat="false" ht="23.85" hidden="false" customHeight="false" outlineLevel="0" collapsed="false">
      <c r="A113" s="12" t="s">
        <v>1684</v>
      </c>
      <c r="B113" s="12" t="s">
        <v>605</v>
      </c>
      <c r="C113" s="12" t="s">
        <v>1378</v>
      </c>
      <c r="D113" s="12" t="s">
        <v>604</v>
      </c>
      <c r="E113" s="12" t="s">
        <v>1379</v>
      </c>
      <c r="F113" s="12" t="s">
        <v>1470</v>
      </c>
      <c r="G113" s="13" t="s">
        <v>1685</v>
      </c>
      <c r="H113" s="12" t="s">
        <v>1382</v>
      </c>
      <c r="I113" s="12" t="s">
        <v>174</v>
      </c>
    </row>
    <row r="114" customFormat="false" ht="23.85" hidden="false" customHeight="false" outlineLevel="0" collapsed="false">
      <c r="A114" s="12" t="s">
        <v>1686</v>
      </c>
      <c r="B114" s="12" t="s">
        <v>605</v>
      </c>
      <c r="C114" s="12" t="s">
        <v>1389</v>
      </c>
      <c r="D114" s="12" t="s">
        <v>306</v>
      </c>
      <c r="E114" s="12" t="s">
        <v>1385</v>
      </c>
      <c r="F114" s="12" t="s">
        <v>1470</v>
      </c>
      <c r="G114" s="13" t="s">
        <v>1687</v>
      </c>
      <c r="H114" s="12" t="s">
        <v>1382</v>
      </c>
      <c r="I114" s="12" t="s">
        <v>174</v>
      </c>
    </row>
    <row r="115" customFormat="false" ht="23.85" hidden="false" customHeight="false" outlineLevel="0" collapsed="false">
      <c r="A115" s="12" t="s">
        <v>1688</v>
      </c>
      <c r="B115" s="12" t="s">
        <v>612</v>
      </c>
      <c r="C115" s="12" t="s">
        <v>1378</v>
      </c>
      <c r="D115" s="12" t="s">
        <v>624</v>
      </c>
      <c r="E115" s="12" t="s">
        <v>1385</v>
      </c>
      <c r="F115" s="12" t="s">
        <v>1689</v>
      </c>
      <c r="G115" s="13" t="s">
        <v>1690</v>
      </c>
      <c r="H115" s="12" t="s">
        <v>1382</v>
      </c>
      <c r="I115" s="12" t="s">
        <v>174</v>
      </c>
    </row>
    <row r="116" customFormat="false" ht="23.85" hidden="false" customHeight="false" outlineLevel="0" collapsed="false">
      <c r="A116" s="12" t="s">
        <v>1691</v>
      </c>
      <c r="B116" s="12" t="s">
        <v>612</v>
      </c>
      <c r="C116" s="12" t="s">
        <v>1461</v>
      </c>
      <c r="D116" s="12" t="s">
        <v>625</v>
      </c>
      <c r="E116" s="12" t="s">
        <v>1379</v>
      </c>
      <c r="F116" s="12" t="s">
        <v>1692</v>
      </c>
      <c r="G116" s="13" t="s">
        <v>1693</v>
      </c>
      <c r="H116" s="12" t="s">
        <v>1382</v>
      </c>
      <c r="I116" s="12" t="s">
        <v>174</v>
      </c>
    </row>
    <row r="117" customFormat="false" ht="23.85" hidden="false" customHeight="false" outlineLevel="0" collapsed="false">
      <c r="A117" s="12" t="s">
        <v>1694</v>
      </c>
      <c r="B117" s="12" t="s">
        <v>612</v>
      </c>
      <c r="C117" s="12" t="s">
        <v>1389</v>
      </c>
      <c r="D117" s="12" t="s">
        <v>623</v>
      </c>
      <c r="E117" s="12" t="s">
        <v>1385</v>
      </c>
      <c r="F117" s="12" t="s">
        <v>1695</v>
      </c>
      <c r="G117" s="13" t="s">
        <v>1696</v>
      </c>
      <c r="H117" s="12" t="s">
        <v>1382</v>
      </c>
      <c r="I117" s="12" t="s">
        <v>174</v>
      </c>
    </row>
    <row r="118" customFormat="false" ht="23.85" hidden="false" customHeight="false" outlineLevel="0" collapsed="false">
      <c r="A118" s="12" t="s">
        <v>1697</v>
      </c>
      <c r="B118" s="12" t="s">
        <v>630</v>
      </c>
      <c r="C118" s="12" t="s">
        <v>1389</v>
      </c>
      <c r="D118" s="12" t="s">
        <v>635</v>
      </c>
      <c r="E118" s="12" t="s">
        <v>1385</v>
      </c>
      <c r="F118" s="12" t="s">
        <v>1698</v>
      </c>
      <c r="G118" s="13" t="s">
        <v>1699</v>
      </c>
      <c r="H118" s="12" t="s">
        <v>1382</v>
      </c>
      <c r="I118" s="12" t="s">
        <v>174</v>
      </c>
    </row>
    <row r="119" customFormat="false" ht="15" hidden="false" customHeight="false" outlineLevel="0" collapsed="false">
      <c r="A119" s="12" t="s">
        <v>1700</v>
      </c>
      <c r="B119" s="12" t="s">
        <v>630</v>
      </c>
      <c r="C119" s="12" t="s">
        <v>1378</v>
      </c>
      <c r="D119" s="12" t="n">
        <v>2017</v>
      </c>
      <c r="E119" s="12" t="s">
        <v>1445</v>
      </c>
      <c r="F119" s="12" t="s">
        <v>1698</v>
      </c>
      <c r="G119" s="13" t="s">
        <v>1701</v>
      </c>
      <c r="H119" s="12" t="s">
        <v>1447</v>
      </c>
      <c r="I119" s="12" t="s">
        <v>174</v>
      </c>
    </row>
    <row r="120" customFormat="false" ht="23.85" hidden="false" customHeight="false" outlineLevel="0" collapsed="false">
      <c r="A120" s="12" t="s">
        <v>1702</v>
      </c>
      <c r="B120" s="12" t="s">
        <v>637</v>
      </c>
      <c r="C120" s="12" t="s">
        <v>1378</v>
      </c>
      <c r="D120" s="12" t="s">
        <v>643</v>
      </c>
      <c r="E120" s="12" t="s">
        <v>1385</v>
      </c>
      <c r="F120" s="12" t="s">
        <v>1703</v>
      </c>
      <c r="G120" s="13" t="s">
        <v>1704</v>
      </c>
      <c r="H120" s="12" t="s">
        <v>1382</v>
      </c>
      <c r="I120" s="12" t="s">
        <v>174</v>
      </c>
    </row>
    <row r="121" customFormat="false" ht="23.85" hidden="false" customHeight="false" outlineLevel="0" collapsed="false">
      <c r="A121" s="12" t="s">
        <v>1705</v>
      </c>
      <c r="B121" s="12" t="s">
        <v>637</v>
      </c>
      <c r="C121" s="12" t="s">
        <v>1461</v>
      </c>
      <c r="D121" s="12" t="n">
        <v>2017</v>
      </c>
      <c r="E121" s="12" t="s">
        <v>1445</v>
      </c>
      <c r="F121" s="12" t="s">
        <v>1703</v>
      </c>
      <c r="G121" s="13" t="s">
        <v>1706</v>
      </c>
      <c r="H121" s="12" t="s">
        <v>1382</v>
      </c>
      <c r="I121" s="12" t="s">
        <v>174</v>
      </c>
    </row>
    <row r="122" customFormat="false" ht="23.85" hidden="false" customHeight="false" outlineLevel="0" collapsed="false">
      <c r="A122" s="12" t="s">
        <v>1707</v>
      </c>
      <c r="B122" s="12" t="s">
        <v>637</v>
      </c>
      <c r="C122" s="12" t="s">
        <v>1389</v>
      </c>
      <c r="D122" s="12" t="s">
        <v>1708</v>
      </c>
      <c r="E122" s="12" t="s">
        <v>1385</v>
      </c>
      <c r="F122" s="12" t="s">
        <v>1709</v>
      </c>
      <c r="G122" s="13" t="s">
        <v>1710</v>
      </c>
      <c r="H122" s="12" t="s">
        <v>1382</v>
      </c>
      <c r="I122" s="12" t="s">
        <v>174</v>
      </c>
    </row>
    <row r="123" customFormat="false" ht="15" hidden="false" customHeight="false" outlineLevel="0" collapsed="false">
      <c r="A123" s="12" t="s">
        <v>1711</v>
      </c>
      <c r="B123" s="12" t="s">
        <v>637</v>
      </c>
      <c r="C123" s="12" t="s">
        <v>1389</v>
      </c>
      <c r="D123" s="12" t="n">
        <v>2019</v>
      </c>
      <c r="E123" s="12" t="s">
        <v>1445</v>
      </c>
      <c r="F123" s="12" t="s">
        <v>1709</v>
      </c>
      <c r="G123" s="13" t="s">
        <v>1712</v>
      </c>
      <c r="H123" s="12" t="s">
        <v>1447</v>
      </c>
      <c r="I123" s="12" t="s">
        <v>174</v>
      </c>
    </row>
    <row r="124" customFormat="false" ht="23.85" hidden="false" customHeight="false" outlineLevel="0" collapsed="false">
      <c r="A124" s="12" t="s">
        <v>1713</v>
      </c>
      <c r="B124" s="12" t="s">
        <v>647</v>
      </c>
      <c r="C124" s="12" t="s">
        <v>1384</v>
      </c>
      <c r="D124" s="12" t="s">
        <v>652</v>
      </c>
      <c r="E124" s="12" t="s">
        <v>1385</v>
      </c>
      <c r="F124" s="12" t="s">
        <v>1427</v>
      </c>
      <c r="G124" s="13" t="s">
        <v>1714</v>
      </c>
      <c r="H124" s="12" t="s">
        <v>1382</v>
      </c>
      <c r="I124" s="12" t="s">
        <v>174</v>
      </c>
    </row>
    <row r="125" customFormat="false" ht="23.85" hidden="false" customHeight="false" outlineLevel="0" collapsed="false">
      <c r="A125" s="12" t="s">
        <v>1715</v>
      </c>
      <c r="B125" s="12" t="s">
        <v>647</v>
      </c>
      <c r="C125" s="12" t="s">
        <v>1389</v>
      </c>
      <c r="D125" s="12" t="s">
        <v>164</v>
      </c>
      <c r="E125" s="12" t="s">
        <v>1385</v>
      </c>
      <c r="F125" s="12" t="s">
        <v>1390</v>
      </c>
      <c r="G125" s="13" t="s">
        <v>1716</v>
      </c>
      <c r="H125" s="12" t="s">
        <v>1382</v>
      </c>
      <c r="I125" s="12" t="s">
        <v>174</v>
      </c>
    </row>
    <row r="126" customFormat="false" ht="23.85" hidden="false" customHeight="false" outlineLevel="0" collapsed="false">
      <c r="A126" s="12" t="s">
        <v>1717</v>
      </c>
      <c r="B126" s="12" t="s">
        <v>655</v>
      </c>
      <c r="C126" s="12" t="s">
        <v>1378</v>
      </c>
      <c r="D126" s="12" t="s">
        <v>661</v>
      </c>
      <c r="E126" s="12" t="s">
        <v>1385</v>
      </c>
      <c r="F126" s="12" t="s">
        <v>1718</v>
      </c>
      <c r="G126" s="13" t="s">
        <v>1719</v>
      </c>
      <c r="H126" s="12" t="s">
        <v>1382</v>
      </c>
      <c r="I126" s="12" t="s">
        <v>174</v>
      </c>
    </row>
    <row r="127" customFormat="false" ht="23.85" hidden="false" customHeight="false" outlineLevel="0" collapsed="false">
      <c r="A127" s="12" t="s">
        <v>1720</v>
      </c>
      <c r="B127" s="12" t="s">
        <v>655</v>
      </c>
      <c r="C127" s="12" t="s">
        <v>1389</v>
      </c>
      <c r="D127" s="12" t="s">
        <v>660</v>
      </c>
      <c r="E127" s="12" t="s">
        <v>1385</v>
      </c>
      <c r="F127" s="12" t="s">
        <v>1718</v>
      </c>
      <c r="G127" s="13" t="s">
        <v>1721</v>
      </c>
      <c r="H127" s="12" t="s">
        <v>1382</v>
      </c>
      <c r="I127" s="12" t="s">
        <v>174</v>
      </c>
    </row>
    <row r="128" customFormat="false" ht="23.85" hidden="false" customHeight="false" outlineLevel="0" collapsed="false">
      <c r="A128" s="12" t="s">
        <v>1722</v>
      </c>
      <c r="B128" s="12" t="s">
        <v>665</v>
      </c>
      <c r="C128" s="12" t="s">
        <v>1378</v>
      </c>
      <c r="D128" s="12" t="s">
        <v>670</v>
      </c>
      <c r="E128" s="12" t="s">
        <v>1379</v>
      </c>
      <c r="F128" s="12" t="s">
        <v>1723</v>
      </c>
      <c r="G128" s="13" t="s">
        <v>1724</v>
      </c>
      <c r="H128" s="12" t="s">
        <v>1382</v>
      </c>
      <c r="I128" s="12" t="s">
        <v>174</v>
      </c>
    </row>
    <row r="129" customFormat="false" ht="23.85" hidden="false" customHeight="false" outlineLevel="0" collapsed="false">
      <c r="A129" s="12" t="s">
        <v>1725</v>
      </c>
      <c r="B129" s="12" t="s">
        <v>665</v>
      </c>
      <c r="C129" s="12" t="s">
        <v>1461</v>
      </c>
      <c r="D129" s="12" t="s">
        <v>671</v>
      </c>
      <c r="E129" s="12" t="s">
        <v>1385</v>
      </c>
      <c r="F129" s="12" t="s">
        <v>1726</v>
      </c>
      <c r="G129" s="13" t="s">
        <v>1727</v>
      </c>
      <c r="H129" s="12" t="s">
        <v>1382</v>
      </c>
      <c r="I129" s="12" t="s">
        <v>174</v>
      </c>
    </row>
    <row r="130" customFormat="false" ht="23.85" hidden="false" customHeight="false" outlineLevel="0" collapsed="false">
      <c r="A130" s="12" t="s">
        <v>1728</v>
      </c>
      <c r="B130" s="12" t="s">
        <v>665</v>
      </c>
      <c r="C130" s="12" t="s">
        <v>1389</v>
      </c>
      <c r="D130" s="12" t="s">
        <v>164</v>
      </c>
      <c r="E130" s="12" t="s">
        <v>1385</v>
      </c>
      <c r="F130" s="12" t="s">
        <v>1390</v>
      </c>
      <c r="G130" s="13" t="s">
        <v>1729</v>
      </c>
      <c r="H130" s="12" t="s">
        <v>1382</v>
      </c>
      <c r="I130" s="12" t="s">
        <v>174</v>
      </c>
    </row>
    <row r="131" customFormat="false" ht="35.05" hidden="false" customHeight="false" outlineLevel="0" collapsed="false">
      <c r="A131" s="12" t="s">
        <v>1730</v>
      </c>
      <c r="B131" s="12" t="s">
        <v>665</v>
      </c>
      <c r="C131" s="12" t="s">
        <v>1461</v>
      </c>
      <c r="D131" s="12" t="s">
        <v>164</v>
      </c>
      <c r="E131" s="12" t="s">
        <v>1385</v>
      </c>
      <c r="F131" s="12" t="s">
        <v>1390</v>
      </c>
      <c r="G131" s="13" t="s">
        <v>1731</v>
      </c>
      <c r="H131" s="12" t="s">
        <v>1434</v>
      </c>
      <c r="I131" s="12" t="s">
        <v>174</v>
      </c>
    </row>
    <row r="132" customFormat="false" ht="35.05" hidden="false" customHeight="false" outlineLevel="0" collapsed="false">
      <c r="A132" s="12" t="s">
        <v>1732</v>
      </c>
      <c r="B132" s="12" t="s">
        <v>665</v>
      </c>
      <c r="C132" s="12" t="s">
        <v>1389</v>
      </c>
      <c r="D132" s="12" t="s">
        <v>248</v>
      </c>
      <c r="E132" s="12" t="s">
        <v>1385</v>
      </c>
      <c r="F132" s="12" t="s">
        <v>1432</v>
      </c>
      <c r="G132" s="13" t="s">
        <v>1733</v>
      </c>
      <c r="H132" s="12" t="s">
        <v>1434</v>
      </c>
      <c r="I132" s="12" t="s">
        <v>174</v>
      </c>
    </row>
    <row r="133" customFormat="false" ht="23.85" hidden="false" customHeight="false" outlineLevel="0" collapsed="false">
      <c r="A133" s="12" t="s">
        <v>1734</v>
      </c>
      <c r="B133" s="12" t="s">
        <v>674</v>
      </c>
      <c r="C133" s="12" t="s">
        <v>1378</v>
      </c>
      <c r="D133" s="12" t="s">
        <v>679</v>
      </c>
      <c r="E133" s="12" t="s">
        <v>1385</v>
      </c>
      <c r="F133" s="12" t="s">
        <v>1735</v>
      </c>
      <c r="G133" s="13" t="s">
        <v>1736</v>
      </c>
      <c r="H133" s="12" t="s">
        <v>1382</v>
      </c>
      <c r="I133" s="12" t="s">
        <v>174</v>
      </c>
    </row>
    <row r="134" customFormat="false" ht="23.85" hidden="false" customHeight="false" outlineLevel="0" collapsed="false">
      <c r="A134" s="12" t="s">
        <v>1737</v>
      </c>
      <c r="B134" s="12" t="s">
        <v>674</v>
      </c>
      <c r="C134" s="12" t="s">
        <v>1389</v>
      </c>
      <c r="D134" s="12" t="s">
        <v>679</v>
      </c>
      <c r="E134" s="12" t="s">
        <v>1385</v>
      </c>
      <c r="F134" s="12" t="s">
        <v>1735</v>
      </c>
      <c r="G134" s="13" t="s">
        <v>1738</v>
      </c>
      <c r="H134" s="12" t="s">
        <v>1382</v>
      </c>
      <c r="I134" s="12" t="s">
        <v>174</v>
      </c>
    </row>
    <row r="135" customFormat="false" ht="23.85" hidden="false" customHeight="false" outlineLevel="0" collapsed="false">
      <c r="A135" s="12" t="s">
        <v>1739</v>
      </c>
      <c r="B135" s="12" t="s">
        <v>682</v>
      </c>
      <c r="C135" s="12" t="s">
        <v>1461</v>
      </c>
      <c r="D135" s="12" t="s">
        <v>690</v>
      </c>
      <c r="E135" s="12" t="s">
        <v>1385</v>
      </c>
      <c r="F135" s="12" t="s">
        <v>1740</v>
      </c>
      <c r="G135" s="13" t="s">
        <v>1741</v>
      </c>
      <c r="H135" s="12" t="s">
        <v>1382</v>
      </c>
      <c r="I135" s="12" t="s">
        <v>174</v>
      </c>
    </row>
    <row r="136" customFormat="false" ht="23.85" hidden="false" customHeight="false" outlineLevel="0" collapsed="false">
      <c r="A136" s="12" t="s">
        <v>1742</v>
      </c>
      <c r="B136" s="12" t="s">
        <v>682</v>
      </c>
      <c r="C136" s="12" t="s">
        <v>1389</v>
      </c>
      <c r="D136" s="12" t="s">
        <v>164</v>
      </c>
      <c r="E136" s="12" t="s">
        <v>1385</v>
      </c>
      <c r="F136" s="12" t="s">
        <v>1390</v>
      </c>
      <c r="G136" s="13" t="s">
        <v>1743</v>
      </c>
      <c r="H136" s="12" t="s">
        <v>1382</v>
      </c>
      <c r="I136" s="12" t="s">
        <v>174</v>
      </c>
    </row>
    <row r="137" customFormat="false" ht="23.85" hidden="false" customHeight="false" outlineLevel="0" collapsed="false">
      <c r="A137" s="12" t="s">
        <v>1744</v>
      </c>
      <c r="B137" s="12" t="s">
        <v>692</v>
      </c>
      <c r="C137" s="12" t="s">
        <v>1501</v>
      </c>
      <c r="D137" s="12" t="s">
        <v>670</v>
      </c>
      <c r="E137" s="12" t="s">
        <v>1379</v>
      </c>
      <c r="F137" s="12" t="s">
        <v>1745</v>
      </c>
      <c r="G137" s="13" t="s">
        <v>1746</v>
      </c>
      <c r="H137" s="12" t="s">
        <v>1382</v>
      </c>
      <c r="I137" s="12" t="s">
        <v>174</v>
      </c>
    </row>
    <row r="138" customFormat="false" ht="23.85" hidden="false" customHeight="false" outlineLevel="0" collapsed="false">
      <c r="A138" s="12" t="s">
        <v>1747</v>
      </c>
      <c r="B138" s="12" t="s">
        <v>692</v>
      </c>
      <c r="C138" s="12" t="s">
        <v>1389</v>
      </c>
      <c r="D138" s="12" t="s">
        <v>703</v>
      </c>
      <c r="E138" s="12" t="s">
        <v>1385</v>
      </c>
      <c r="F138" s="12" t="s">
        <v>1748</v>
      </c>
      <c r="G138" s="13" t="s">
        <v>1749</v>
      </c>
      <c r="H138" s="12" t="s">
        <v>1382</v>
      </c>
      <c r="I138" s="12" t="s">
        <v>174</v>
      </c>
    </row>
    <row r="139" customFormat="false" ht="15" hidden="false" customHeight="false" outlineLevel="0" collapsed="false">
      <c r="A139" s="12" t="s">
        <v>1750</v>
      </c>
      <c r="B139" s="12" t="s">
        <v>692</v>
      </c>
      <c r="C139" s="12" t="s">
        <v>1378</v>
      </c>
      <c r="D139" s="12" t="s">
        <v>670</v>
      </c>
      <c r="E139" s="12" t="s">
        <v>1379</v>
      </c>
      <c r="F139" s="12" t="s">
        <v>1745</v>
      </c>
      <c r="G139" s="13" t="s">
        <v>1751</v>
      </c>
      <c r="H139" s="12" t="s">
        <v>1447</v>
      </c>
      <c r="I139" s="12" t="s">
        <v>174</v>
      </c>
    </row>
    <row r="140" customFormat="false" ht="23.85" hidden="false" customHeight="false" outlineLevel="0" collapsed="false">
      <c r="A140" s="12" t="s">
        <v>1752</v>
      </c>
      <c r="B140" s="12" t="s">
        <v>707</v>
      </c>
      <c r="C140" s="12" t="s">
        <v>1378</v>
      </c>
      <c r="D140" s="12" t="s">
        <v>717</v>
      </c>
      <c r="E140" s="12" t="s">
        <v>1379</v>
      </c>
      <c r="F140" s="12" t="s">
        <v>1753</v>
      </c>
      <c r="G140" s="13" t="s">
        <v>1754</v>
      </c>
      <c r="H140" s="12" t="s">
        <v>1382</v>
      </c>
      <c r="I140" s="12" t="s">
        <v>174</v>
      </c>
    </row>
    <row r="141" customFormat="false" ht="23.85" hidden="false" customHeight="false" outlineLevel="0" collapsed="false">
      <c r="A141" s="12" t="s">
        <v>1755</v>
      </c>
      <c r="B141" s="12" t="s">
        <v>707</v>
      </c>
      <c r="C141" s="12" t="s">
        <v>1389</v>
      </c>
      <c r="D141" s="12" t="s">
        <v>716</v>
      </c>
      <c r="E141" s="12" t="s">
        <v>1385</v>
      </c>
      <c r="F141" s="12" t="s">
        <v>1753</v>
      </c>
      <c r="G141" s="13" t="s">
        <v>1756</v>
      </c>
      <c r="H141" s="12" t="s">
        <v>1382</v>
      </c>
      <c r="I141" s="12" t="s">
        <v>174</v>
      </c>
    </row>
    <row r="142" customFormat="false" ht="23.85" hidden="false" customHeight="false" outlineLevel="0" collapsed="false">
      <c r="A142" s="12" t="s">
        <v>1757</v>
      </c>
      <c r="B142" s="12" t="s">
        <v>1305</v>
      </c>
      <c r="C142" s="12" t="s">
        <v>1384</v>
      </c>
      <c r="D142" s="12" t="s">
        <v>1314</v>
      </c>
      <c r="E142" s="12" t="s">
        <v>1379</v>
      </c>
      <c r="F142" s="12" t="s">
        <v>1758</v>
      </c>
      <c r="G142" s="13" t="s">
        <v>1759</v>
      </c>
      <c r="H142" s="12" t="s">
        <v>1382</v>
      </c>
      <c r="I142" s="12" t="s">
        <v>174</v>
      </c>
    </row>
    <row r="143" customFormat="false" ht="23.85" hidden="false" customHeight="false" outlineLevel="0" collapsed="false">
      <c r="A143" s="12" t="s">
        <v>1760</v>
      </c>
      <c r="B143" s="12" t="s">
        <v>1305</v>
      </c>
      <c r="C143" s="12" t="s">
        <v>1389</v>
      </c>
      <c r="D143" s="12" t="s">
        <v>1313</v>
      </c>
      <c r="E143" s="12" t="s">
        <v>1385</v>
      </c>
      <c r="F143" s="12" t="s">
        <v>1761</v>
      </c>
      <c r="G143" s="13" t="s">
        <v>1762</v>
      </c>
      <c r="H143" s="12" t="s">
        <v>1382</v>
      </c>
      <c r="I143" s="12" t="s">
        <v>174</v>
      </c>
    </row>
    <row r="144" customFormat="false" ht="35.05" hidden="false" customHeight="false" outlineLevel="0" collapsed="false">
      <c r="A144" s="12" t="s">
        <v>1763</v>
      </c>
      <c r="B144" s="12" t="s">
        <v>721</v>
      </c>
      <c r="C144" s="12" t="s">
        <v>1384</v>
      </c>
      <c r="D144" s="12" t="s">
        <v>228</v>
      </c>
      <c r="E144" s="12" t="s">
        <v>1379</v>
      </c>
      <c r="F144" s="12" t="s">
        <v>1418</v>
      </c>
      <c r="G144" s="13" t="s">
        <v>1764</v>
      </c>
      <c r="H144" s="12" t="s">
        <v>1382</v>
      </c>
      <c r="I144" s="12" t="s">
        <v>174</v>
      </c>
    </row>
    <row r="145" customFormat="false" ht="23.85" hidden="false" customHeight="false" outlineLevel="0" collapsed="false">
      <c r="A145" s="12" t="s">
        <v>1765</v>
      </c>
      <c r="B145" s="12" t="s">
        <v>721</v>
      </c>
      <c r="C145" s="12" t="s">
        <v>1389</v>
      </c>
      <c r="D145" s="12" t="s">
        <v>164</v>
      </c>
      <c r="E145" s="12" t="s">
        <v>1385</v>
      </c>
      <c r="F145" s="12" t="s">
        <v>1390</v>
      </c>
      <c r="G145" s="13" t="s">
        <v>1766</v>
      </c>
      <c r="H145" s="12" t="s">
        <v>1382</v>
      </c>
      <c r="I145" s="12" t="s">
        <v>174</v>
      </c>
    </row>
    <row r="146" customFormat="false" ht="23.85" hidden="false" customHeight="false" outlineLevel="0" collapsed="false">
      <c r="A146" s="12" t="s">
        <v>1767</v>
      </c>
      <c r="B146" s="12" t="s">
        <v>721</v>
      </c>
      <c r="C146" s="12" t="s">
        <v>1389</v>
      </c>
      <c r="D146" s="12" t="s">
        <v>248</v>
      </c>
      <c r="E146" s="12" t="s">
        <v>1385</v>
      </c>
      <c r="F146" s="12" t="s">
        <v>1432</v>
      </c>
      <c r="G146" s="13" t="s">
        <v>1768</v>
      </c>
      <c r="H146" s="12" t="s">
        <v>1434</v>
      </c>
      <c r="I146" s="12" t="s">
        <v>174</v>
      </c>
    </row>
    <row r="147" customFormat="false" ht="23.85" hidden="false" customHeight="false" outlineLevel="0" collapsed="false">
      <c r="A147" s="12" t="s">
        <v>1769</v>
      </c>
      <c r="B147" s="12" t="s">
        <v>726</v>
      </c>
      <c r="C147" s="12" t="s">
        <v>1378</v>
      </c>
      <c r="D147" s="12" t="s">
        <v>670</v>
      </c>
      <c r="E147" s="12" t="s">
        <v>1379</v>
      </c>
      <c r="F147" s="12" t="s">
        <v>1770</v>
      </c>
      <c r="G147" s="13" t="s">
        <v>1771</v>
      </c>
      <c r="H147" s="12" t="s">
        <v>1382</v>
      </c>
      <c r="I147" s="12" t="s">
        <v>174</v>
      </c>
    </row>
    <row r="148" customFormat="false" ht="23.85" hidden="false" customHeight="false" outlineLevel="0" collapsed="false">
      <c r="A148" s="12" t="s">
        <v>1772</v>
      </c>
      <c r="B148" s="12" t="s">
        <v>726</v>
      </c>
      <c r="C148" s="12" t="s">
        <v>1389</v>
      </c>
      <c r="D148" s="12" t="s">
        <v>735</v>
      </c>
      <c r="E148" s="12" t="s">
        <v>1385</v>
      </c>
      <c r="F148" s="12" t="s">
        <v>1770</v>
      </c>
      <c r="G148" s="13" t="s">
        <v>1773</v>
      </c>
      <c r="H148" s="12" t="s">
        <v>1382</v>
      </c>
      <c r="I148" s="12" t="s">
        <v>174</v>
      </c>
    </row>
    <row r="149" customFormat="false" ht="23.85" hidden="false" customHeight="false" outlineLevel="0" collapsed="false">
      <c r="A149" s="12" t="s">
        <v>1774</v>
      </c>
      <c r="B149" s="12" t="s">
        <v>738</v>
      </c>
      <c r="C149" s="12" t="s">
        <v>1378</v>
      </c>
      <c r="D149" s="12" t="s">
        <v>745</v>
      </c>
      <c r="E149" s="12" t="s">
        <v>1379</v>
      </c>
      <c r="F149" s="12" t="s">
        <v>1775</v>
      </c>
      <c r="G149" s="13" t="s">
        <v>1776</v>
      </c>
      <c r="H149" s="12" t="s">
        <v>1382</v>
      </c>
      <c r="I149" s="12" t="s">
        <v>174</v>
      </c>
    </row>
    <row r="150" customFormat="false" ht="23.85" hidden="false" customHeight="false" outlineLevel="0" collapsed="false">
      <c r="A150" s="12" t="s">
        <v>1777</v>
      </c>
      <c r="B150" s="12" t="s">
        <v>738</v>
      </c>
      <c r="C150" s="12" t="s">
        <v>1389</v>
      </c>
      <c r="D150" s="12" t="s">
        <v>744</v>
      </c>
      <c r="E150" s="12" t="s">
        <v>1385</v>
      </c>
      <c r="F150" s="12" t="s">
        <v>1778</v>
      </c>
      <c r="G150" s="13" t="s">
        <v>1779</v>
      </c>
      <c r="H150" s="12" t="s">
        <v>1382</v>
      </c>
      <c r="I150" s="12" t="s">
        <v>174</v>
      </c>
    </row>
    <row r="151" customFormat="false" ht="23.85" hidden="false" customHeight="false" outlineLevel="0" collapsed="false">
      <c r="A151" s="12" t="s">
        <v>1780</v>
      </c>
      <c r="B151" s="12" t="s">
        <v>748</v>
      </c>
      <c r="C151" s="12" t="s">
        <v>1378</v>
      </c>
      <c r="D151" s="12" t="s">
        <v>757</v>
      </c>
      <c r="E151" s="12" t="s">
        <v>1379</v>
      </c>
      <c r="F151" s="12" t="s">
        <v>1781</v>
      </c>
      <c r="G151" s="13" t="s">
        <v>1782</v>
      </c>
      <c r="H151" s="12" t="s">
        <v>1382</v>
      </c>
      <c r="I151" s="12" t="s">
        <v>174</v>
      </c>
    </row>
    <row r="152" customFormat="false" ht="23.85" hidden="false" customHeight="false" outlineLevel="0" collapsed="false">
      <c r="A152" s="12" t="s">
        <v>1783</v>
      </c>
      <c r="B152" s="12" t="s">
        <v>748</v>
      </c>
      <c r="C152" s="12" t="s">
        <v>1389</v>
      </c>
      <c r="D152" s="12" t="s">
        <v>756</v>
      </c>
      <c r="E152" s="12" t="s">
        <v>1385</v>
      </c>
      <c r="F152" s="12" t="s">
        <v>1784</v>
      </c>
      <c r="G152" s="13" t="s">
        <v>1785</v>
      </c>
      <c r="H152" s="12" t="s">
        <v>1382</v>
      </c>
      <c r="I152" s="12" t="s">
        <v>174</v>
      </c>
    </row>
    <row r="153" customFormat="false" ht="23.85" hidden="false" customHeight="false" outlineLevel="0" collapsed="false">
      <c r="A153" s="12" t="s">
        <v>1786</v>
      </c>
      <c r="B153" s="12" t="s">
        <v>761</v>
      </c>
      <c r="C153" s="12" t="s">
        <v>1378</v>
      </c>
      <c r="D153" s="12" t="s">
        <v>767</v>
      </c>
      <c r="E153" s="12" t="s">
        <v>1385</v>
      </c>
      <c r="F153" s="12" t="s">
        <v>1787</v>
      </c>
      <c r="G153" s="13" t="s">
        <v>1788</v>
      </c>
      <c r="H153" s="12" t="s">
        <v>1382</v>
      </c>
      <c r="I153" s="12" t="s">
        <v>174</v>
      </c>
    </row>
    <row r="154" customFormat="false" ht="23.85" hidden="false" customHeight="false" outlineLevel="0" collapsed="false">
      <c r="A154" s="12" t="s">
        <v>1789</v>
      </c>
      <c r="B154" s="12" t="s">
        <v>761</v>
      </c>
      <c r="C154" s="12" t="s">
        <v>1389</v>
      </c>
      <c r="D154" s="12" t="s">
        <v>766</v>
      </c>
      <c r="E154" s="12" t="s">
        <v>1385</v>
      </c>
      <c r="F154" s="12" t="s">
        <v>1790</v>
      </c>
      <c r="G154" s="13" t="s">
        <v>1791</v>
      </c>
      <c r="H154" s="12" t="s">
        <v>1382</v>
      </c>
      <c r="I154" s="12" t="s">
        <v>174</v>
      </c>
    </row>
    <row r="155" customFormat="false" ht="23.85" hidden="false" customHeight="false" outlineLevel="0" collapsed="false">
      <c r="A155" s="12" t="s">
        <v>1792</v>
      </c>
      <c r="B155" s="12" t="s">
        <v>770</v>
      </c>
      <c r="C155" s="12" t="s">
        <v>1378</v>
      </c>
      <c r="D155" s="12" t="s">
        <v>780</v>
      </c>
      <c r="E155" s="12" t="s">
        <v>1385</v>
      </c>
      <c r="F155" s="12" t="s">
        <v>1793</v>
      </c>
      <c r="G155" s="13" t="s">
        <v>1794</v>
      </c>
      <c r="H155" s="12" t="s">
        <v>1382</v>
      </c>
      <c r="I155" s="12" t="s">
        <v>174</v>
      </c>
    </row>
    <row r="156" customFormat="false" ht="23.85" hidden="false" customHeight="false" outlineLevel="0" collapsed="false">
      <c r="A156" s="12" t="s">
        <v>1795</v>
      </c>
      <c r="B156" s="12" t="s">
        <v>770</v>
      </c>
      <c r="C156" s="12" t="s">
        <v>1389</v>
      </c>
      <c r="D156" s="12" t="s">
        <v>780</v>
      </c>
      <c r="E156" s="12" t="s">
        <v>1385</v>
      </c>
      <c r="F156" s="12" t="s">
        <v>1793</v>
      </c>
      <c r="G156" s="13" t="s">
        <v>1796</v>
      </c>
      <c r="H156" s="12" t="s">
        <v>1382</v>
      </c>
      <c r="I156" s="12" t="s">
        <v>174</v>
      </c>
    </row>
    <row r="157" customFormat="false" ht="23.85" hidden="false" customHeight="false" outlineLevel="0" collapsed="false">
      <c r="A157" s="12" t="s">
        <v>1797</v>
      </c>
      <c r="B157" s="12" t="s">
        <v>784</v>
      </c>
      <c r="C157" s="12" t="s">
        <v>1378</v>
      </c>
      <c r="D157" s="12" t="s">
        <v>791</v>
      </c>
      <c r="E157" s="12" t="s">
        <v>1385</v>
      </c>
      <c r="F157" s="12" t="s">
        <v>1798</v>
      </c>
      <c r="G157" s="13" t="s">
        <v>1799</v>
      </c>
      <c r="H157" s="12" t="s">
        <v>1382</v>
      </c>
      <c r="I157" s="12" t="s">
        <v>174</v>
      </c>
    </row>
    <row r="158" customFormat="false" ht="23.85" hidden="false" customHeight="false" outlineLevel="0" collapsed="false">
      <c r="A158" s="12" t="s">
        <v>1800</v>
      </c>
      <c r="B158" s="12" t="s">
        <v>784</v>
      </c>
      <c r="C158" s="12" t="s">
        <v>1384</v>
      </c>
      <c r="D158" s="12" t="s">
        <v>165</v>
      </c>
      <c r="E158" s="12" t="s">
        <v>1379</v>
      </c>
      <c r="F158" s="12" t="s">
        <v>1801</v>
      </c>
      <c r="G158" s="13" t="s">
        <v>1802</v>
      </c>
      <c r="H158" s="12" t="s">
        <v>1382</v>
      </c>
      <c r="I158" s="12" t="s">
        <v>174</v>
      </c>
    </row>
    <row r="159" customFormat="false" ht="23.85" hidden="false" customHeight="false" outlineLevel="0" collapsed="false">
      <c r="A159" s="12" t="s">
        <v>1803</v>
      </c>
      <c r="B159" s="12" t="s">
        <v>784</v>
      </c>
      <c r="C159" s="12" t="s">
        <v>1413</v>
      </c>
      <c r="D159" s="12" t="s">
        <v>792</v>
      </c>
      <c r="E159" s="12" t="s">
        <v>1385</v>
      </c>
      <c r="F159" s="12" t="s">
        <v>1804</v>
      </c>
      <c r="G159" s="13" t="s">
        <v>1805</v>
      </c>
      <c r="H159" s="12" t="s">
        <v>1382</v>
      </c>
      <c r="I159" s="12" t="s">
        <v>174</v>
      </c>
    </row>
    <row r="160" customFormat="false" ht="23.85" hidden="false" customHeight="false" outlineLevel="0" collapsed="false">
      <c r="A160" s="12" t="s">
        <v>1806</v>
      </c>
      <c r="B160" s="12" t="s">
        <v>784</v>
      </c>
      <c r="C160" s="12" t="s">
        <v>1389</v>
      </c>
      <c r="D160" s="12" t="s">
        <v>790</v>
      </c>
      <c r="E160" s="12" t="s">
        <v>1385</v>
      </c>
      <c r="F160" s="12" t="s">
        <v>1807</v>
      </c>
      <c r="G160" s="13" t="s">
        <v>1808</v>
      </c>
      <c r="H160" s="12" t="s">
        <v>1382</v>
      </c>
      <c r="I160" s="12" t="s">
        <v>174</v>
      </c>
    </row>
    <row r="161" customFormat="false" ht="23.85" hidden="false" customHeight="false" outlineLevel="0" collapsed="false">
      <c r="A161" s="12" t="s">
        <v>1809</v>
      </c>
      <c r="B161" s="12" t="s">
        <v>796</v>
      </c>
      <c r="C161" s="12" t="s">
        <v>1389</v>
      </c>
      <c r="D161" s="12" t="n">
        <v>2024</v>
      </c>
      <c r="E161" s="12" t="s">
        <v>1445</v>
      </c>
      <c r="F161" s="12" t="s">
        <v>1427</v>
      </c>
      <c r="G161" s="13" t="s">
        <v>1810</v>
      </c>
      <c r="H161" s="12" t="s">
        <v>1382</v>
      </c>
      <c r="I161" s="12" t="s">
        <v>174</v>
      </c>
    </row>
    <row r="162" customFormat="false" ht="23.85" hidden="false" customHeight="false" outlineLevel="0" collapsed="false">
      <c r="A162" s="12" t="s">
        <v>1811</v>
      </c>
      <c r="B162" s="12" t="s">
        <v>808</v>
      </c>
      <c r="C162" s="12" t="s">
        <v>1384</v>
      </c>
      <c r="D162" s="12" t="n">
        <v>2022</v>
      </c>
      <c r="E162" s="12" t="s">
        <v>1445</v>
      </c>
      <c r="F162" s="12" t="s">
        <v>1812</v>
      </c>
      <c r="G162" s="13" t="s">
        <v>1813</v>
      </c>
      <c r="H162" s="12" t="s">
        <v>1382</v>
      </c>
      <c r="I162" s="12" t="s">
        <v>174</v>
      </c>
    </row>
    <row r="163" customFormat="false" ht="23.85" hidden="false" customHeight="false" outlineLevel="0" collapsed="false">
      <c r="A163" s="12" t="s">
        <v>1814</v>
      </c>
      <c r="B163" s="12" t="s">
        <v>808</v>
      </c>
      <c r="C163" s="12" t="s">
        <v>1389</v>
      </c>
      <c r="D163" s="12" t="s">
        <v>817</v>
      </c>
      <c r="E163" s="12" t="s">
        <v>1385</v>
      </c>
      <c r="F163" s="12" t="s">
        <v>1815</v>
      </c>
      <c r="G163" s="13" t="s">
        <v>1816</v>
      </c>
      <c r="H163" s="12" t="s">
        <v>1382</v>
      </c>
      <c r="I163" s="12" t="s">
        <v>174</v>
      </c>
    </row>
    <row r="164" customFormat="false" ht="23.85" hidden="false" customHeight="false" outlineLevel="0" collapsed="false">
      <c r="A164" s="12" t="s">
        <v>1817</v>
      </c>
      <c r="B164" s="12" t="s">
        <v>821</v>
      </c>
      <c r="C164" s="12" t="s">
        <v>1389</v>
      </c>
      <c r="D164" s="12" t="s">
        <v>164</v>
      </c>
      <c r="E164" s="12" t="s">
        <v>1385</v>
      </c>
      <c r="F164" s="12" t="s">
        <v>1390</v>
      </c>
      <c r="G164" s="13" t="s">
        <v>1818</v>
      </c>
      <c r="H164" s="12" t="s">
        <v>1382</v>
      </c>
      <c r="I164" s="12" t="s">
        <v>174</v>
      </c>
    </row>
    <row r="165" customFormat="false" ht="15" hidden="false" customHeight="false" outlineLevel="0" collapsed="false">
      <c r="A165" s="12" t="s">
        <v>1819</v>
      </c>
      <c r="B165" s="12" t="s">
        <v>821</v>
      </c>
      <c r="C165" s="12" t="s">
        <v>1378</v>
      </c>
      <c r="D165" s="12" t="n">
        <v>2024</v>
      </c>
      <c r="E165" s="12" t="s">
        <v>1445</v>
      </c>
      <c r="F165" s="12" t="s">
        <v>1390</v>
      </c>
      <c r="G165" s="13" t="s">
        <v>1820</v>
      </c>
      <c r="H165" s="12" t="s">
        <v>1447</v>
      </c>
      <c r="I165" s="12" t="s">
        <v>174</v>
      </c>
    </row>
    <row r="166" customFormat="false" ht="23.85" hidden="false" customHeight="false" outlineLevel="0" collapsed="false">
      <c r="A166" s="12" t="s">
        <v>1821</v>
      </c>
      <c r="B166" s="12" t="s">
        <v>821</v>
      </c>
      <c r="C166" s="12" t="s">
        <v>1384</v>
      </c>
      <c r="D166" s="12" t="s">
        <v>653</v>
      </c>
      <c r="E166" s="12" t="s">
        <v>1385</v>
      </c>
      <c r="F166" s="12" t="s">
        <v>1822</v>
      </c>
      <c r="G166" s="13" t="s">
        <v>1823</v>
      </c>
      <c r="H166" s="12" t="s">
        <v>1434</v>
      </c>
      <c r="I166" s="12" t="s">
        <v>174</v>
      </c>
    </row>
    <row r="167" customFormat="false" ht="23.85" hidden="false" customHeight="false" outlineLevel="0" collapsed="false">
      <c r="A167" s="12" t="s">
        <v>1824</v>
      </c>
      <c r="B167" s="12" t="s">
        <v>821</v>
      </c>
      <c r="C167" s="12" t="s">
        <v>1389</v>
      </c>
      <c r="D167" s="12" t="s">
        <v>248</v>
      </c>
      <c r="E167" s="12" t="s">
        <v>1385</v>
      </c>
      <c r="F167" s="12" t="s">
        <v>1432</v>
      </c>
      <c r="G167" s="13" t="s">
        <v>1825</v>
      </c>
      <c r="H167" s="12" t="s">
        <v>1434</v>
      </c>
      <c r="I167" s="12" t="s">
        <v>174</v>
      </c>
    </row>
    <row r="168" customFormat="false" ht="23.85" hidden="false" customHeight="false" outlineLevel="0" collapsed="false">
      <c r="A168" s="12" t="s">
        <v>1826</v>
      </c>
      <c r="B168" s="12" t="s">
        <v>827</v>
      </c>
      <c r="C168" s="12" t="s">
        <v>1384</v>
      </c>
      <c r="D168" s="12" t="s">
        <v>835</v>
      </c>
      <c r="E168" s="12" t="s">
        <v>1379</v>
      </c>
      <c r="F168" s="12" t="s">
        <v>1827</v>
      </c>
      <c r="G168" s="13" t="s">
        <v>1828</v>
      </c>
      <c r="H168" s="12" t="s">
        <v>1382</v>
      </c>
      <c r="I168" s="12" t="s">
        <v>174</v>
      </c>
    </row>
    <row r="169" customFormat="false" ht="23.85" hidden="false" customHeight="false" outlineLevel="0" collapsed="false">
      <c r="A169" s="12" t="s">
        <v>1829</v>
      </c>
      <c r="B169" s="12" t="s">
        <v>827</v>
      </c>
      <c r="C169" s="12" t="s">
        <v>1389</v>
      </c>
      <c r="D169" s="12" t="s">
        <v>164</v>
      </c>
      <c r="E169" s="12" t="s">
        <v>1385</v>
      </c>
      <c r="F169" s="12" t="s">
        <v>1390</v>
      </c>
      <c r="G169" s="13" t="s">
        <v>1830</v>
      </c>
      <c r="H169" s="12" t="s">
        <v>1382</v>
      </c>
      <c r="I169" s="12" t="s">
        <v>174</v>
      </c>
    </row>
    <row r="170" customFormat="false" ht="23.85" hidden="false" customHeight="false" outlineLevel="0" collapsed="false">
      <c r="A170" s="12" t="s">
        <v>1831</v>
      </c>
      <c r="B170" s="12" t="s">
        <v>827</v>
      </c>
      <c r="C170" s="12" t="s">
        <v>1389</v>
      </c>
      <c r="D170" s="12" t="s">
        <v>248</v>
      </c>
      <c r="E170" s="12" t="s">
        <v>1385</v>
      </c>
      <c r="F170" s="12" t="s">
        <v>1432</v>
      </c>
      <c r="G170" s="13" t="s">
        <v>1832</v>
      </c>
      <c r="H170" s="12" t="s">
        <v>1434</v>
      </c>
      <c r="I170" s="12" t="s">
        <v>174</v>
      </c>
    </row>
    <row r="171" customFormat="false" ht="23.85" hidden="false" customHeight="false" outlineLevel="0" collapsed="false">
      <c r="A171" s="12" t="s">
        <v>1833</v>
      </c>
      <c r="B171" s="12" t="s">
        <v>837</v>
      </c>
      <c r="C171" s="12" t="s">
        <v>1384</v>
      </c>
      <c r="D171" s="12" t="s">
        <v>841</v>
      </c>
      <c r="E171" s="12" t="s">
        <v>1379</v>
      </c>
      <c r="F171" s="12" t="s">
        <v>1834</v>
      </c>
      <c r="G171" s="13" t="s">
        <v>1835</v>
      </c>
      <c r="H171" s="12" t="s">
        <v>1382</v>
      </c>
      <c r="I171" s="12" t="s">
        <v>174</v>
      </c>
    </row>
    <row r="172" customFormat="false" ht="23.85" hidden="false" customHeight="false" outlineLevel="0" collapsed="false">
      <c r="A172" s="12" t="s">
        <v>1836</v>
      </c>
      <c r="B172" s="12" t="s">
        <v>837</v>
      </c>
      <c r="C172" s="12" t="s">
        <v>1389</v>
      </c>
      <c r="D172" s="12" t="s">
        <v>164</v>
      </c>
      <c r="E172" s="12" t="s">
        <v>1385</v>
      </c>
      <c r="F172" s="12" t="s">
        <v>1390</v>
      </c>
      <c r="G172" s="13" t="s">
        <v>1837</v>
      </c>
      <c r="H172" s="12" t="s">
        <v>1382</v>
      </c>
      <c r="I172" s="12" t="s">
        <v>174</v>
      </c>
    </row>
    <row r="173" customFormat="false" ht="23.85" hidden="false" customHeight="false" outlineLevel="0" collapsed="false">
      <c r="A173" s="12" t="s">
        <v>1838</v>
      </c>
      <c r="B173" s="12" t="s">
        <v>837</v>
      </c>
      <c r="C173" s="12" t="s">
        <v>1389</v>
      </c>
      <c r="D173" s="12" t="s">
        <v>248</v>
      </c>
      <c r="E173" s="12" t="s">
        <v>1385</v>
      </c>
      <c r="F173" s="12" t="s">
        <v>1432</v>
      </c>
      <c r="G173" s="13" t="s">
        <v>1839</v>
      </c>
      <c r="H173" s="12" t="s">
        <v>1434</v>
      </c>
      <c r="I173" s="12" t="s">
        <v>174</v>
      </c>
    </row>
    <row r="174" customFormat="false" ht="23.85" hidden="false" customHeight="false" outlineLevel="0" collapsed="false">
      <c r="A174" s="12" t="s">
        <v>1840</v>
      </c>
      <c r="B174" s="12" t="s">
        <v>843</v>
      </c>
      <c r="C174" s="12" t="s">
        <v>1384</v>
      </c>
      <c r="D174" s="12" t="s">
        <v>846</v>
      </c>
      <c r="E174" s="12" t="s">
        <v>1379</v>
      </c>
      <c r="F174" s="12" t="s">
        <v>1834</v>
      </c>
      <c r="G174" s="13" t="s">
        <v>1841</v>
      </c>
      <c r="H174" s="12" t="s">
        <v>1382</v>
      </c>
      <c r="I174" s="12" t="s">
        <v>174</v>
      </c>
    </row>
    <row r="175" customFormat="false" ht="23.85" hidden="false" customHeight="false" outlineLevel="0" collapsed="false">
      <c r="A175" s="12" t="s">
        <v>1842</v>
      </c>
      <c r="B175" s="12" t="s">
        <v>843</v>
      </c>
      <c r="C175" s="12" t="s">
        <v>1389</v>
      </c>
      <c r="D175" s="12" t="s">
        <v>164</v>
      </c>
      <c r="E175" s="12" t="s">
        <v>1385</v>
      </c>
      <c r="F175" s="12" t="s">
        <v>1390</v>
      </c>
      <c r="G175" s="13" t="s">
        <v>1843</v>
      </c>
      <c r="H175" s="12" t="s">
        <v>1382</v>
      </c>
      <c r="I175" s="12" t="s">
        <v>174</v>
      </c>
    </row>
    <row r="176" customFormat="false" ht="23.85" hidden="false" customHeight="false" outlineLevel="0" collapsed="false">
      <c r="A176" s="12" t="s">
        <v>1844</v>
      </c>
      <c r="B176" s="12" t="s">
        <v>843</v>
      </c>
      <c r="C176" s="12" t="s">
        <v>1389</v>
      </c>
      <c r="D176" s="12" t="s">
        <v>248</v>
      </c>
      <c r="E176" s="12" t="s">
        <v>1385</v>
      </c>
      <c r="F176" s="12" t="s">
        <v>1432</v>
      </c>
      <c r="G176" s="13" t="s">
        <v>1845</v>
      </c>
      <c r="H176" s="12" t="s">
        <v>1434</v>
      </c>
      <c r="I176" s="12" t="s">
        <v>174</v>
      </c>
    </row>
    <row r="177" customFormat="false" ht="23.85" hidden="false" customHeight="false" outlineLevel="0" collapsed="false">
      <c r="A177" s="12" t="s">
        <v>1846</v>
      </c>
      <c r="B177" s="12" t="s">
        <v>848</v>
      </c>
      <c r="C177" s="12" t="s">
        <v>1384</v>
      </c>
      <c r="D177" s="12" t="n">
        <v>2020</v>
      </c>
      <c r="E177" s="12" t="s">
        <v>1445</v>
      </c>
      <c r="F177" s="12" t="s">
        <v>1427</v>
      </c>
      <c r="G177" s="13" t="s">
        <v>1847</v>
      </c>
      <c r="H177" s="12" t="s">
        <v>1382</v>
      </c>
      <c r="I177" s="12" t="s">
        <v>174</v>
      </c>
    </row>
    <row r="178" customFormat="false" ht="23.85" hidden="false" customHeight="false" outlineLevel="0" collapsed="false">
      <c r="A178" s="12" t="s">
        <v>1848</v>
      </c>
      <c r="B178" s="12" t="s">
        <v>848</v>
      </c>
      <c r="C178" s="12" t="s">
        <v>1389</v>
      </c>
      <c r="D178" s="12" t="s">
        <v>164</v>
      </c>
      <c r="E178" s="12" t="s">
        <v>1385</v>
      </c>
      <c r="F178" s="12" t="s">
        <v>1390</v>
      </c>
      <c r="G178" s="13" t="s">
        <v>1849</v>
      </c>
      <c r="H178" s="12" t="s">
        <v>1382</v>
      </c>
      <c r="I178" s="12" t="s">
        <v>174</v>
      </c>
    </row>
    <row r="179" customFormat="false" ht="23.85" hidden="false" customHeight="false" outlineLevel="0" collapsed="false">
      <c r="A179" s="12" t="s">
        <v>1850</v>
      </c>
      <c r="B179" s="12" t="s">
        <v>848</v>
      </c>
      <c r="C179" s="12" t="s">
        <v>1389</v>
      </c>
      <c r="D179" s="12" t="s">
        <v>248</v>
      </c>
      <c r="E179" s="12" t="s">
        <v>1385</v>
      </c>
      <c r="F179" s="12" t="s">
        <v>1432</v>
      </c>
      <c r="G179" s="13" t="s">
        <v>1851</v>
      </c>
      <c r="H179" s="12" t="s">
        <v>1434</v>
      </c>
      <c r="I179" s="12" t="s">
        <v>174</v>
      </c>
    </row>
    <row r="180" customFormat="false" ht="23.85" hidden="false" customHeight="false" outlineLevel="0" collapsed="false">
      <c r="A180" s="12" t="s">
        <v>1852</v>
      </c>
      <c r="B180" s="12" t="s">
        <v>853</v>
      </c>
      <c r="C180" s="12" t="s">
        <v>1389</v>
      </c>
      <c r="D180" s="12" t="s">
        <v>164</v>
      </c>
      <c r="E180" s="12" t="s">
        <v>1385</v>
      </c>
      <c r="F180" s="12" t="s">
        <v>1390</v>
      </c>
      <c r="G180" s="13" t="s">
        <v>1853</v>
      </c>
      <c r="H180" s="12" t="s">
        <v>1382</v>
      </c>
      <c r="I180" s="12" t="s">
        <v>174</v>
      </c>
    </row>
    <row r="181" customFormat="false" ht="15" hidden="false" customHeight="false" outlineLevel="0" collapsed="false">
      <c r="A181" s="12" t="s">
        <v>1854</v>
      </c>
      <c r="B181" s="12" t="s">
        <v>853</v>
      </c>
      <c r="C181" s="12" t="s">
        <v>1378</v>
      </c>
      <c r="D181" s="12" t="n">
        <v>2024</v>
      </c>
      <c r="E181" s="12" t="s">
        <v>1445</v>
      </c>
      <c r="F181" s="12" t="s">
        <v>1390</v>
      </c>
      <c r="G181" s="13" t="s">
        <v>1855</v>
      </c>
      <c r="H181" s="12" t="s">
        <v>1447</v>
      </c>
      <c r="I181" s="12" t="s">
        <v>174</v>
      </c>
    </row>
    <row r="182" customFormat="false" ht="23.85" hidden="false" customHeight="false" outlineLevel="0" collapsed="false">
      <c r="A182" s="12" t="s">
        <v>1856</v>
      </c>
      <c r="B182" s="12" t="s">
        <v>853</v>
      </c>
      <c r="C182" s="12" t="s">
        <v>1384</v>
      </c>
      <c r="D182" s="12" t="s">
        <v>653</v>
      </c>
      <c r="E182" s="12" t="s">
        <v>1385</v>
      </c>
      <c r="F182" s="12" t="s">
        <v>1822</v>
      </c>
      <c r="G182" s="13" t="s">
        <v>1857</v>
      </c>
      <c r="H182" s="12" t="s">
        <v>1434</v>
      </c>
      <c r="I182" s="12" t="s">
        <v>174</v>
      </c>
    </row>
    <row r="183" customFormat="false" ht="23.85" hidden="false" customHeight="false" outlineLevel="0" collapsed="false">
      <c r="A183" s="12" t="s">
        <v>1858</v>
      </c>
      <c r="B183" s="12" t="s">
        <v>853</v>
      </c>
      <c r="C183" s="12" t="s">
        <v>1389</v>
      </c>
      <c r="D183" s="12" t="s">
        <v>248</v>
      </c>
      <c r="E183" s="12" t="s">
        <v>1385</v>
      </c>
      <c r="F183" s="12" t="s">
        <v>1432</v>
      </c>
      <c r="G183" s="13" t="s">
        <v>1859</v>
      </c>
      <c r="H183" s="12" t="s">
        <v>1434</v>
      </c>
      <c r="I183" s="12" t="s">
        <v>174</v>
      </c>
    </row>
    <row r="184" customFormat="false" ht="23.85" hidden="false" customHeight="false" outlineLevel="0" collapsed="false">
      <c r="A184" s="12" t="s">
        <v>1860</v>
      </c>
      <c r="B184" s="12" t="s">
        <v>1346</v>
      </c>
      <c r="C184" s="12" t="s">
        <v>1389</v>
      </c>
      <c r="D184" s="12" t="s">
        <v>164</v>
      </c>
      <c r="E184" s="12" t="s">
        <v>1385</v>
      </c>
      <c r="F184" s="12" t="s">
        <v>1390</v>
      </c>
      <c r="G184" s="13" t="s">
        <v>1861</v>
      </c>
      <c r="H184" s="12" t="s">
        <v>1382</v>
      </c>
      <c r="I184" s="12" t="s">
        <v>174</v>
      </c>
    </row>
    <row r="185" customFormat="false" ht="23.85" hidden="false" customHeight="false" outlineLevel="0" collapsed="false">
      <c r="A185" s="12" t="s">
        <v>1862</v>
      </c>
      <c r="B185" s="12" t="s">
        <v>1346</v>
      </c>
      <c r="C185" s="12" t="s">
        <v>1384</v>
      </c>
      <c r="D185" s="12" t="s">
        <v>653</v>
      </c>
      <c r="E185" s="12" t="s">
        <v>1385</v>
      </c>
      <c r="F185" s="12" t="s">
        <v>1822</v>
      </c>
      <c r="G185" s="13" t="s">
        <v>1863</v>
      </c>
      <c r="H185" s="12" t="s">
        <v>1434</v>
      </c>
      <c r="I185" s="12" t="s">
        <v>174</v>
      </c>
    </row>
    <row r="186" customFormat="false" ht="23.85" hidden="false" customHeight="false" outlineLevel="0" collapsed="false">
      <c r="A186" s="12" t="s">
        <v>1864</v>
      </c>
      <c r="B186" s="12" t="s">
        <v>1346</v>
      </c>
      <c r="C186" s="12" t="s">
        <v>1389</v>
      </c>
      <c r="D186" s="12" t="s">
        <v>248</v>
      </c>
      <c r="E186" s="12" t="s">
        <v>1385</v>
      </c>
      <c r="F186" s="12" t="s">
        <v>1432</v>
      </c>
      <c r="G186" s="13" t="s">
        <v>1865</v>
      </c>
      <c r="H186" s="12" t="s">
        <v>1434</v>
      </c>
      <c r="I186" s="12" t="s">
        <v>174</v>
      </c>
    </row>
    <row r="187" customFormat="false" ht="23.85" hidden="false" customHeight="false" outlineLevel="0" collapsed="false">
      <c r="A187" s="12" t="s">
        <v>1866</v>
      </c>
      <c r="B187" s="12" t="s">
        <v>859</v>
      </c>
      <c r="C187" s="12" t="s">
        <v>1378</v>
      </c>
      <c r="D187" s="12" t="s">
        <v>864</v>
      </c>
      <c r="E187" s="12" t="s">
        <v>1379</v>
      </c>
      <c r="F187" s="12" t="s">
        <v>1867</v>
      </c>
      <c r="G187" s="13" t="s">
        <v>1868</v>
      </c>
      <c r="H187" s="12" t="s">
        <v>1382</v>
      </c>
      <c r="I187" s="12" t="s">
        <v>174</v>
      </c>
    </row>
    <row r="188" customFormat="false" ht="23.85" hidden="false" customHeight="false" outlineLevel="0" collapsed="false">
      <c r="A188" s="12" t="s">
        <v>1869</v>
      </c>
      <c r="B188" s="12" t="s">
        <v>859</v>
      </c>
      <c r="C188" s="12" t="s">
        <v>1461</v>
      </c>
      <c r="D188" s="12" t="n">
        <v>2021</v>
      </c>
      <c r="E188" s="12" t="s">
        <v>1445</v>
      </c>
      <c r="F188" s="12" t="s">
        <v>1870</v>
      </c>
      <c r="G188" s="13" t="s">
        <v>1871</v>
      </c>
      <c r="H188" s="12" t="s">
        <v>1382</v>
      </c>
      <c r="I188" s="12" t="s">
        <v>174</v>
      </c>
    </row>
    <row r="189" customFormat="false" ht="23.85" hidden="false" customHeight="false" outlineLevel="0" collapsed="false">
      <c r="A189" s="12" t="s">
        <v>1872</v>
      </c>
      <c r="B189" s="12" t="s">
        <v>859</v>
      </c>
      <c r="C189" s="12" t="s">
        <v>1389</v>
      </c>
      <c r="D189" s="12" t="s">
        <v>1873</v>
      </c>
      <c r="E189" s="12" t="s">
        <v>1385</v>
      </c>
      <c r="F189" s="12" t="s">
        <v>1870</v>
      </c>
      <c r="G189" s="13" t="s">
        <v>1874</v>
      </c>
      <c r="H189" s="12" t="s">
        <v>1382</v>
      </c>
      <c r="I189" s="12" t="s">
        <v>174</v>
      </c>
    </row>
    <row r="190" customFormat="false" ht="15" hidden="false" customHeight="false" outlineLevel="0" collapsed="false">
      <c r="A190" s="12" t="s">
        <v>1875</v>
      </c>
      <c r="B190" s="12" t="s">
        <v>859</v>
      </c>
      <c r="C190" s="12" t="s">
        <v>1389</v>
      </c>
      <c r="D190" s="12" t="s">
        <v>541</v>
      </c>
      <c r="E190" s="12" t="s">
        <v>1379</v>
      </c>
      <c r="F190" s="12" t="s">
        <v>1634</v>
      </c>
      <c r="G190" s="13" t="s">
        <v>1876</v>
      </c>
      <c r="H190" s="12" t="s">
        <v>1447</v>
      </c>
      <c r="I190" s="12" t="s">
        <v>174</v>
      </c>
    </row>
    <row r="191" customFormat="false" ht="23.85" hidden="false" customHeight="false" outlineLevel="0" collapsed="false">
      <c r="A191" s="12" t="s">
        <v>1877</v>
      </c>
      <c r="B191" s="12" t="s">
        <v>868</v>
      </c>
      <c r="C191" s="12" t="s">
        <v>1378</v>
      </c>
      <c r="D191" s="12" t="s">
        <v>875</v>
      </c>
      <c r="E191" s="12" t="s">
        <v>1385</v>
      </c>
      <c r="F191" s="12" t="s">
        <v>1878</v>
      </c>
      <c r="G191" s="13" t="s">
        <v>1879</v>
      </c>
      <c r="H191" s="12" t="s">
        <v>1382</v>
      </c>
      <c r="I191" s="12" t="s">
        <v>174</v>
      </c>
    </row>
    <row r="192" customFormat="false" ht="23.85" hidden="false" customHeight="false" outlineLevel="0" collapsed="false">
      <c r="A192" s="12" t="s">
        <v>1880</v>
      </c>
      <c r="B192" s="12" t="s">
        <v>868</v>
      </c>
      <c r="C192" s="12" t="s">
        <v>1389</v>
      </c>
      <c r="D192" s="12" t="s">
        <v>1881</v>
      </c>
      <c r="E192" s="12" t="s">
        <v>1385</v>
      </c>
      <c r="F192" s="12" t="s">
        <v>1882</v>
      </c>
      <c r="G192" s="13" t="s">
        <v>1883</v>
      </c>
      <c r="H192" s="12" t="s">
        <v>1382</v>
      </c>
      <c r="I192" s="12" t="s">
        <v>174</v>
      </c>
    </row>
    <row r="193" customFormat="false" ht="15" hidden="false" customHeight="false" outlineLevel="0" collapsed="false">
      <c r="A193" s="12" t="s">
        <v>1884</v>
      </c>
      <c r="B193" s="12" t="s">
        <v>868</v>
      </c>
      <c r="C193" s="12" t="s">
        <v>1389</v>
      </c>
      <c r="D193" s="12" t="s">
        <v>541</v>
      </c>
      <c r="E193" s="12" t="s">
        <v>1379</v>
      </c>
      <c r="F193" s="12" t="s">
        <v>1634</v>
      </c>
      <c r="G193" s="13" t="s">
        <v>1885</v>
      </c>
      <c r="H193" s="12" t="s">
        <v>1447</v>
      </c>
      <c r="I193" s="12" t="s">
        <v>174</v>
      </c>
    </row>
    <row r="194" customFormat="false" ht="35.05" hidden="false" customHeight="false" outlineLevel="0" collapsed="false">
      <c r="A194" s="12" t="s">
        <v>1886</v>
      </c>
      <c r="B194" s="12" t="s">
        <v>878</v>
      </c>
      <c r="C194" s="12" t="s">
        <v>1378</v>
      </c>
      <c r="D194" s="12" t="s">
        <v>888</v>
      </c>
      <c r="E194" s="12" t="s">
        <v>1385</v>
      </c>
      <c r="F194" s="12" t="s">
        <v>1887</v>
      </c>
      <c r="G194" s="13" t="s">
        <v>1888</v>
      </c>
      <c r="H194" s="12" t="s">
        <v>1382</v>
      </c>
      <c r="I194" s="12" t="s">
        <v>174</v>
      </c>
    </row>
    <row r="195" customFormat="false" ht="23.85" hidden="false" customHeight="false" outlineLevel="0" collapsed="false">
      <c r="A195" s="12" t="s">
        <v>1889</v>
      </c>
      <c r="B195" s="12" t="s">
        <v>878</v>
      </c>
      <c r="C195" s="12" t="s">
        <v>1384</v>
      </c>
      <c r="D195" s="12" t="n">
        <v>2017</v>
      </c>
      <c r="E195" s="12" t="s">
        <v>1445</v>
      </c>
      <c r="F195" s="12" t="s">
        <v>1890</v>
      </c>
      <c r="G195" s="13" t="s">
        <v>1891</v>
      </c>
      <c r="H195" s="12" t="s">
        <v>1382</v>
      </c>
      <c r="I195" s="12" t="s">
        <v>174</v>
      </c>
    </row>
    <row r="196" customFormat="false" ht="23.85" hidden="false" customHeight="false" outlineLevel="0" collapsed="false">
      <c r="A196" s="12" t="s">
        <v>1892</v>
      </c>
      <c r="B196" s="12" t="s">
        <v>878</v>
      </c>
      <c r="C196" s="12" t="s">
        <v>1389</v>
      </c>
      <c r="D196" s="12" t="s">
        <v>887</v>
      </c>
      <c r="E196" s="12" t="s">
        <v>1385</v>
      </c>
      <c r="F196" s="12" t="s">
        <v>1893</v>
      </c>
      <c r="G196" s="13" t="s">
        <v>1894</v>
      </c>
      <c r="H196" s="12" t="s">
        <v>1382</v>
      </c>
      <c r="I196" s="12" t="s">
        <v>174</v>
      </c>
    </row>
    <row r="197" customFormat="false" ht="23.85" hidden="false" customHeight="false" outlineLevel="0" collapsed="false">
      <c r="A197" s="12" t="s">
        <v>1895</v>
      </c>
      <c r="B197" s="12" t="s">
        <v>890</v>
      </c>
      <c r="C197" s="12" t="s">
        <v>1378</v>
      </c>
      <c r="D197" s="12" t="s">
        <v>896</v>
      </c>
      <c r="E197" s="12" t="s">
        <v>1385</v>
      </c>
      <c r="F197" s="12" t="s">
        <v>1896</v>
      </c>
      <c r="G197" s="13" t="s">
        <v>1897</v>
      </c>
      <c r="H197" s="12" t="s">
        <v>1382</v>
      </c>
      <c r="I197" s="12" t="s">
        <v>174</v>
      </c>
    </row>
    <row r="198" customFormat="false" ht="35.05" hidden="false" customHeight="false" outlineLevel="0" collapsed="false">
      <c r="A198" s="12" t="s">
        <v>1898</v>
      </c>
      <c r="B198" s="12" t="s">
        <v>890</v>
      </c>
      <c r="C198" s="12" t="s">
        <v>1389</v>
      </c>
      <c r="D198" s="12" t="s">
        <v>895</v>
      </c>
      <c r="E198" s="12" t="s">
        <v>1379</v>
      </c>
      <c r="F198" s="12" t="s">
        <v>1899</v>
      </c>
      <c r="G198" s="13" t="s">
        <v>1900</v>
      </c>
      <c r="H198" s="12" t="s">
        <v>1382</v>
      </c>
      <c r="I198" s="12" t="s">
        <v>174</v>
      </c>
    </row>
    <row r="199" customFormat="false" ht="23.85" hidden="false" customHeight="false" outlineLevel="0" collapsed="false">
      <c r="A199" s="12" t="s">
        <v>1901</v>
      </c>
      <c r="B199" s="12" t="s">
        <v>900</v>
      </c>
      <c r="C199" s="12" t="s">
        <v>1378</v>
      </c>
      <c r="D199" s="12" t="s">
        <v>359</v>
      </c>
      <c r="E199" s="12" t="s">
        <v>1379</v>
      </c>
      <c r="F199" s="12" t="s">
        <v>1902</v>
      </c>
      <c r="G199" s="13" t="s">
        <v>1903</v>
      </c>
      <c r="H199" s="12" t="s">
        <v>1382</v>
      </c>
      <c r="I199" s="12" t="s">
        <v>174</v>
      </c>
    </row>
    <row r="200" customFormat="false" ht="23.85" hidden="false" customHeight="false" outlineLevel="0" collapsed="false">
      <c r="A200" s="12" t="s">
        <v>1904</v>
      </c>
      <c r="B200" s="12" t="s">
        <v>900</v>
      </c>
      <c r="C200" s="12" t="s">
        <v>1389</v>
      </c>
      <c r="D200" s="12" t="s">
        <v>905</v>
      </c>
      <c r="E200" s="12" t="s">
        <v>1385</v>
      </c>
      <c r="F200" s="12" t="s">
        <v>1902</v>
      </c>
      <c r="G200" s="13" t="s">
        <v>1905</v>
      </c>
      <c r="H200" s="12" t="s">
        <v>1382</v>
      </c>
      <c r="I200" s="12" t="s">
        <v>174</v>
      </c>
    </row>
    <row r="201" customFormat="false" ht="23.85" hidden="false" customHeight="false" outlineLevel="0" collapsed="false">
      <c r="A201" s="12" t="s">
        <v>1906</v>
      </c>
      <c r="B201" s="12" t="s">
        <v>907</v>
      </c>
      <c r="C201" s="12" t="s">
        <v>1378</v>
      </c>
      <c r="D201" s="12" t="s">
        <v>913</v>
      </c>
      <c r="E201" s="12" t="s">
        <v>1385</v>
      </c>
      <c r="F201" s="12" t="s">
        <v>1907</v>
      </c>
      <c r="G201" s="13" t="s">
        <v>1908</v>
      </c>
      <c r="H201" s="12" t="s">
        <v>1382</v>
      </c>
      <c r="I201" s="12" t="s">
        <v>174</v>
      </c>
    </row>
    <row r="202" customFormat="false" ht="23.85" hidden="false" customHeight="false" outlineLevel="0" collapsed="false">
      <c r="A202" s="12" t="s">
        <v>1909</v>
      </c>
      <c r="B202" s="12" t="s">
        <v>907</v>
      </c>
      <c r="C202" s="12" t="s">
        <v>1389</v>
      </c>
      <c r="D202" s="12" t="s">
        <v>912</v>
      </c>
      <c r="E202" s="12" t="s">
        <v>1385</v>
      </c>
      <c r="F202" s="12" t="s">
        <v>1910</v>
      </c>
      <c r="G202" s="13" t="s">
        <v>1911</v>
      </c>
      <c r="H202" s="12" t="s">
        <v>1382</v>
      </c>
      <c r="I202" s="12" t="s">
        <v>174</v>
      </c>
    </row>
    <row r="203" customFormat="false" ht="23.85" hidden="false" customHeight="false" outlineLevel="0" collapsed="false">
      <c r="A203" s="12" t="s">
        <v>1912</v>
      </c>
      <c r="B203" s="12" t="s">
        <v>916</v>
      </c>
      <c r="C203" s="12" t="s">
        <v>1378</v>
      </c>
      <c r="D203" s="12" t="s">
        <v>926</v>
      </c>
      <c r="E203" s="12" t="s">
        <v>1385</v>
      </c>
      <c r="F203" s="12" t="s">
        <v>1913</v>
      </c>
      <c r="G203" s="13" t="s">
        <v>1914</v>
      </c>
      <c r="H203" s="12" t="s">
        <v>1382</v>
      </c>
      <c r="I203" s="12" t="s">
        <v>174</v>
      </c>
    </row>
    <row r="204" customFormat="false" ht="15" hidden="false" customHeight="false" outlineLevel="0" collapsed="false">
      <c r="A204" s="12" t="s">
        <v>1915</v>
      </c>
      <c r="B204" s="12" t="s">
        <v>916</v>
      </c>
      <c r="C204" s="12" t="s">
        <v>1389</v>
      </c>
      <c r="D204" s="12" t="s">
        <v>925</v>
      </c>
      <c r="E204" s="12" t="s">
        <v>1385</v>
      </c>
      <c r="F204" s="12" t="s">
        <v>1913</v>
      </c>
      <c r="G204" s="13" t="s">
        <v>1916</v>
      </c>
      <c r="H204" s="12" t="s">
        <v>1382</v>
      </c>
      <c r="I204" s="12" t="s">
        <v>174</v>
      </c>
    </row>
    <row r="205" customFormat="false" ht="23.85" hidden="false" customHeight="false" outlineLevel="0" collapsed="false">
      <c r="A205" s="12" t="s">
        <v>1917</v>
      </c>
      <c r="B205" s="12" t="s">
        <v>930</v>
      </c>
      <c r="C205" s="12" t="s">
        <v>1389</v>
      </c>
      <c r="D205" s="12" t="s">
        <v>194</v>
      </c>
      <c r="E205" s="12" t="s">
        <v>1385</v>
      </c>
      <c r="F205" s="12" t="s">
        <v>1399</v>
      </c>
      <c r="G205" s="13" t="s">
        <v>1918</v>
      </c>
      <c r="H205" s="12" t="s">
        <v>1382</v>
      </c>
      <c r="I205" s="12" t="s">
        <v>174</v>
      </c>
    </row>
    <row r="206" customFormat="false" ht="15" hidden="false" customHeight="false" outlineLevel="0" collapsed="false">
      <c r="A206" s="12" t="s">
        <v>1919</v>
      </c>
      <c r="B206" s="12" t="s">
        <v>930</v>
      </c>
      <c r="C206" s="12" t="s">
        <v>1378</v>
      </c>
      <c r="D206" s="12" t="n">
        <v>2025</v>
      </c>
      <c r="E206" s="12" t="s">
        <v>1445</v>
      </c>
      <c r="F206" s="12" t="s">
        <v>1399</v>
      </c>
      <c r="G206" s="13" t="s">
        <v>1920</v>
      </c>
      <c r="H206" s="12" t="s">
        <v>1447</v>
      </c>
      <c r="I206" s="12" t="s">
        <v>174</v>
      </c>
    </row>
    <row r="207" customFormat="false" ht="23.85" hidden="false" customHeight="false" outlineLevel="0" collapsed="false">
      <c r="A207" s="12" t="s">
        <v>1921</v>
      </c>
      <c r="B207" s="12" t="s">
        <v>783</v>
      </c>
      <c r="C207" s="12" t="s">
        <v>1378</v>
      </c>
      <c r="D207" s="12" t="s">
        <v>780</v>
      </c>
      <c r="E207" s="12" t="s">
        <v>1385</v>
      </c>
      <c r="F207" s="12" t="s">
        <v>1793</v>
      </c>
      <c r="G207" s="13" t="s">
        <v>1922</v>
      </c>
      <c r="H207" s="12" t="s">
        <v>1382</v>
      </c>
      <c r="I207" s="12" t="s">
        <v>174</v>
      </c>
    </row>
    <row r="208" customFormat="false" ht="23.85" hidden="false" customHeight="false" outlineLevel="0" collapsed="false">
      <c r="A208" s="12" t="s">
        <v>1923</v>
      </c>
      <c r="B208" s="12" t="s">
        <v>783</v>
      </c>
      <c r="C208" s="12" t="s">
        <v>1389</v>
      </c>
      <c r="D208" s="12" t="s">
        <v>780</v>
      </c>
      <c r="E208" s="12" t="s">
        <v>1385</v>
      </c>
      <c r="F208" s="12" t="s">
        <v>1793</v>
      </c>
      <c r="G208" s="13" t="s">
        <v>1924</v>
      </c>
      <c r="H208" s="12" t="s">
        <v>1382</v>
      </c>
      <c r="I208" s="12" t="s">
        <v>174</v>
      </c>
    </row>
    <row r="209" customFormat="false" ht="23.85" hidden="false" customHeight="false" outlineLevel="0" collapsed="false">
      <c r="A209" s="12" t="s">
        <v>1925</v>
      </c>
      <c r="B209" s="12" t="s">
        <v>942</v>
      </c>
      <c r="C209" s="12" t="s">
        <v>1378</v>
      </c>
      <c r="D209" s="12" t="s">
        <v>951</v>
      </c>
      <c r="E209" s="12" t="s">
        <v>1379</v>
      </c>
      <c r="F209" s="12" t="s">
        <v>1926</v>
      </c>
      <c r="G209" s="13" t="s">
        <v>1927</v>
      </c>
      <c r="H209" s="12" t="s">
        <v>1382</v>
      </c>
      <c r="I209" s="12" t="s">
        <v>174</v>
      </c>
    </row>
    <row r="210" customFormat="false" ht="23.85" hidden="false" customHeight="false" outlineLevel="0" collapsed="false">
      <c r="A210" s="12" t="s">
        <v>1928</v>
      </c>
      <c r="B210" s="12" t="s">
        <v>942</v>
      </c>
      <c r="C210" s="12" t="s">
        <v>1501</v>
      </c>
      <c r="D210" s="12" t="n">
        <v>2019</v>
      </c>
      <c r="E210" s="12" t="s">
        <v>1445</v>
      </c>
      <c r="F210" s="12" t="s">
        <v>1926</v>
      </c>
      <c r="G210" s="13" t="s">
        <v>1929</v>
      </c>
      <c r="H210" s="12" t="s">
        <v>1382</v>
      </c>
      <c r="I210" s="12" t="s">
        <v>174</v>
      </c>
    </row>
    <row r="211" customFormat="false" ht="23.85" hidden="false" customHeight="false" outlineLevel="0" collapsed="false">
      <c r="A211" s="12" t="s">
        <v>1930</v>
      </c>
      <c r="B211" s="12" t="s">
        <v>942</v>
      </c>
      <c r="C211" s="12" t="s">
        <v>1389</v>
      </c>
      <c r="D211" s="12" t="s">
        <v>950</v>
      </c>
      <c r="E211" s="12" t="s">
        <v>1385</v>
      </c>
      <c r="F211" s="12" t="s">
        <v>1931</v>
      </c>
      <c r="G211" s="13" t="s">
        <v>1932</v>
      </c>
      <c r="H211" s="12" t="s">
        <v>1382</v>
      </c>
      <c r="I211" s="12" t="s">
        <v>174</v>
      </c>
    </row>
    <row r="212" customFormat="false" ht="23.85" hidden="false" customHeight="false" outlineLevel="0" collapsed="false">
      <c r="A212" s="12" t="s">
        <v>1933</v>
      </c>
      <c r="B212" s="12" t="s">
        <v>1317</v>
      </c>
      <c r="C212" s="12" t="s">
        <v>1378</v>
      </c>
      <c r="D212" s="12" t="s">
        <v>841</v>
      </c>
      <c r="E212" s="12" t="s">
        <v>1379</v>
      </c>
      <c r="F212" s="12" t="s">
        <v>1934</v>
      </c>
      <c r="G212" s="13" t="s">
        <v>1935</v>
      </c>
      <c r="H212" s="12" t="s">
        <v>1382</v>
      </c>
      <c r="I212" s="12" t="s">
        <v>174</v>
      </c>
    </row>
    <row r="213" customFormat="false" ht="23.85" hidden="false" customHeight="false" outlineLevel="0" collapsed="false">
      <c r="A213" s="12" t="s">
        <v>1936</v>
      </c>
      <c r="B213" s="12" t="s">
        <v>1317</v>
      </c>
      <c r="C213" s="12" t="s">
        <v>1461</v>
      </c>
      <c r="D213" s="12" t="s">
        <v>1323</v>
      </c>
      <c r="E213" s="12" t="s">
        <v>1385</v>
      </c>
      <c r="F213" s="12" t="s">
        <v>1937</v>
      </c>
      <c r="G213" s="13" t="s">
        <v>1938</v>
      </c>
      <c r="H213" s="12" t="s">
        <v>1382</v>
      </c>
      <c r="I213" s="12" t="s">
        <v>174</v>
      </c>
    </row>
    <row r="214" customFormat="false" ht="23.85" hidden="false" customHeight="false" outlineLevel="0" collapsed="false">
      <c r="A214" s="12" t="s">
        <v>1939</v>
      </c>
      <c r="B214" s="12" t="s">
        <v>1317</v>
      </c>
      <c r="C214" s="12" t="s">
        <v>1389</v>
      </c>
      <c r="D214" s="12" t="s">
        <v>1322</v>
      </c>
      <c r="E214" s="12" t="s">
        <v>1385</v>
      </c>
      <c r="F214" s="12" t="s">
        <v>1940</v>
      </c>
      <c r="G214" s="13" t="s">
        <v>1941</v>
      </c>
      <c r="H214" s="12" t="s">
        <v>1382</v>
      </c>
      <c r="I214" s="12" t="s">
        <v>174</v>
      </c>
    </row>
    <row r="215" customFormat="false" ht="23.85" hidden="false" customHeight="false" outlineLevel="0" collapsed="false">
      <c r="A215" s="12" t="s">
        <v>1942</v>
      </c>
      <c r="B215" s="12" t="s">
        <v>954</v>
      </c>
      <c r="C215" s="12" t="s">
        <v>1378</v>
      </c>
      <c r="D215" s="12" t="s">
        <v>961</v>
      </c>
      <c r="E215" s="12" t="s">
        <v>1385</v>
      </c>
      <c r="F215" s="12" t="s">
        <v>1943</v>
      </c>
      <c r="G215" s="13" t="s">
        <v>1944</v>
      </c>
      <c r="H215" s="12" t="s">
        <v>1382</v>
      </c>
      <c r="I215" s="12" t="s">
        <v>174</v>
      </c>
    </row>
    <row r="216" customFormat="false" ht="23.85" hidden="false" customHeight="false" outlineLevel="0" collapsed="false">
      <c r="A216" s="12" t="s">
        <v>1945</v>
      </c>
      <c r="B216" s="12" t="s">
        <v>954</v>
      </c>
      <c r="C216" s="12" t="s">
        <v>1389</v>
      </c>
      <c r="D216" s="12" t="s">
        <v>961</v>
      </c>
      <c r="E216" s="12" t="s">
        <v>1385</v>
      </c>
      <c r="F216" s="12" t="s">
        <v>1943</v>
      </c>
      <c r="G216" s="13" t="s">
        <v>1946</v>
      </c>
      <c r="H216" s="12" t="s">
        <v>1382</v>
      </c>
      <c r="I216" s="12" t="s">
        <v>174</v>
      </c>
    </row>
    <row r="217" customFormat="false" ht="23.85" hidden="false" customHeight="false" outlineLevel="0" collapsed="false">
      <c r="A217" s="12" t="s">
        <v>1947</v>
      </c>
      <c r="B217" s="12" t="s">
        <v>964</v>
      </c>
      <c r="C217" s="12" t="s">
        <v>1389</v>
      </c>
      <c r="D217" s="12" t="s">
        <v>164</v>
      </c>
      <c r="E217" s="12" t="s">
        <v>1385</v>
      </c>
      <c r="F217" s="12" t="s">
        <v>1390</v>
      </c>
      <c r="G217" s="13" t="s">
        <v>1948</v>
      </c>
      <c r="H217" s="12" t="s">
        <v>1382</v>
      </c>
      <c r="I217" s="12" t="s">
        <v>174</v>
      </c>
    </row>
    <row r="218" customFormat="false" ht="35.05" hidden="false" customHeight="false" outlineLevel="0" collapsed="false">
      <c r="A218" s="12" t="s">
        <v>1949</v>
      </c>
      <c r="B218" s="12" t="s">
        <v>964</v>
      </c>
      <c r="C218" s="12" t="s">
        <v>1384</v>
      </c>
      <c r="D218" s="12" t="s">
        <v>164</v>
      </c>
      <c r="E218" s="12" t="s">
        <v>1385</v>
      </c>
      <c r="F218" s="12" t="s">
        <v>1390</v>
      </c>
      <c r="G218" s="13" t="s">
        <v>1950</v>
      </c>
      <c r="H218" s="12" t="s">
        <v>1434</v>
      </c>
      <c r="I218" s="12" t="s">
        <v>174</v>
      </c>
    </row>
    <row r="219" customFormat="false" ht="23.85" hidden="false" customHeight="false" outlineLevel="0" collapsed="false">
      <c r="A219" s="12" t="s">
        <v>1951</v>
      </c>
      <c r="B219" s="12" t="s">
        <v>964</v>
      </c>
      <c r="C219" s="12" t="s">
        <v>1389</v>
      </c>
      <c r="D219" s="12" t="s">
        <v>248</v>
      </c>
      <c r="E219" s="12" t="s">
        <v>1385</v>
      </c>
      <c r="F219" s="12" t="s">
        <v>1432</v>
      </c>
      <c r="G219" s="13" t="s">
        <v>1952</v>
      </c>
      <c r="H219" s="12" t="s">
        <v>1434</v>
      </c>
      <c r="I219" s="12" t="s">
        <v>174</v>
      </c>
    </row>
    <row r="220" customFormat="false" ht="23.85" hidden="false" customHeight="false" outlineLevel="0" collapsed="false">
      <c r="A220" s="12" t="s">
        <v>1953</v>
      </c>
      <c r="B220" s="12" t="s">
        <v>969</v>
      </c>
      <c r="C220" s="12" t="s">
        <v>1378</v>
      </c>
      <c r="D220" s="12" t="s">
        <v>972</v>
      </c>
      <c r="E220" s="12" t="s">
        <v>1385</v>
      </c>
      <c r="F220" s="12" t="s">
        <v>1954</v>
      </c>
      <c r="G220" s="13" t="s">
        <v>1955</v>
      </c>
      <c r="H220" s="12" t="s">
        <v>1382</v>
      </c>
      <c r="I220" s="12" t="s">
        <v>174</v>
      </c>
    </row>
    <row r="221" customFormat="false" ht="35.05" hidden="false" customHeight="false" outlineLevel="0" collapsed="false">
      <c r="A221" s="12" t="s">
        <v>1956</v>
      </c>
      <c r="B221" s="12" t="s">
        <v>969</v>
      </c>
      <c r="C221" s="12" t="s">
        <v>1384</v>
      </c>
      <c r="D221" s="12" t="s">
        <v>670</v>
      </c>
      <c r="E221" s="12" t="s">
        <v>1379</v>
      </c>
      <c r="F221" s="12" t="s">
        <v>1957</v>
      </c>
      <c r="G221" s="13" t="s">
        <v>1958</v>
      </c>
      <c r="H221" s="12" t="s">
        <v>1382</v>
      </c>
      <c r="I221" s="12" t="s">
        <v>174</v>
      </c>
    </row>
    <row r="222" customFormat="false" ht="23.85" hidden="false" customHeight="false" outlineLevel="0" collapsed="false">
      <c r="A222" s="12" t="s">
        <v>1959</v>
      </c>
      <c r="B222" s="12" t="s">
        <v>969</v>
      </c>
      <c r="C222" s="12" t="s">
        <v>1389</v>
      </c>
      <c r="D222" s="12" t="s">
        <v>164</v>
      </c>
      <c r="E222" s="12" t="s">
        <v>1385</v>
      </c>
      <c r="F222" s="12" t="s">
        <v>1390</v>
      </c>
      <c r="G222" s="13" t="s">
        <v>1960</v>
      </c>
      <c r="H222" s="12" t="s">
        <v>1382</v>
      </c>
      <c r="I222" s="12" t="s">
        <v>174</v>
      </c>
    </row>
    <row r="223" customFormat="false" ht="23.85" hidden="false" customHeight="false" outlineLevel="0" collapsed="false">
      <c r="A223" s="12" t="s">
        <v>1961</v>
      </c>
      <c r="B223" s="12" t="s">
        <v>969</v>
      </c>
      <c r="C223" s="12" t="s">
        <v>1389</v>
      </c>
      <c r="D223" s="12" t="s">
        <v>248</v>
      </c>
      <c r="E223" s="12" t="s">
        <v>1385</v>
      </c>
      <c r="F223" s="12" t="s">
        <v>1432</v>
      </c>
      <c r="G223" s="13" t="s">
        <v>1962</v>
      </c>
      <c r="H223" s="12" t="s">
        <v>1434</v>
      </c>
      <c r="I223" s="12" t="s">
        <v>174</v>
      </c>
    </row>
    <row r="224" customFormat="false" ht="23.85" hidden="false" customHeight="false" outlineLevel="0" collapsed="false">
      <c r="A224" s="12" t="s">
        <v>1963</v>
      </c>
      <c r="B224" s="12" t="s">
        <v>974</v>
      </c>
      <c r="C224" s="12" t="s">
        <v>1384</v>
      </c>
      <c r="D224" s="12" t="s">
        <v>978</v>
      </c>
      <c r="E224" s="12" t="s">
        <v>1385</v>
      </c>
      <c r="F224" s="12" t="s">
        <v>1964</v>
      </c>
      <c r="G224" s="13" t="s">
        <v>1965</v>
      </c>
      <c r="H224" s="12" t="s">
        <v>1382</v>
      </c>
      <c r="I224" s="12" t="s">
        <v>174</v>
      </c>
    </row>
    <row r="225" customFormat="false" ht="23.85" hidden="false" customHeight="false" outlineLevel="0" collapsed="false">
      <c r="A225" s="12" t="s">
        <v>1966</v>
      </c>
      <c r="B225" s="12" t="s">
        <v>974</v>
      </c>
      <c r="C225" s="12" t="s">
        <v>1389</v>
      </c>
      <c r="D225" s="12" t="s">
        <v>164</v>
      </c>
      <c r="E225" s="12" t="s">
        <v>1385</v>
      </c>
      <c r="F225" s="12" t="s">
        <v>1390</v>
      </c>
      <c r="G225" s="13" t="s">
        <v>1967</v>
      </c>
      <c r="H225" s="12" t="s">
        <v>1382</v>
      </c>
      <c r="I225" s="12" t="s">
        <v>174</v>
      </c>
    </row>
    <row r="226" customFormat="false" ht="23.85" hidden="false" customHeight="false" outlineLevel="0" collapsed="false">
      <c r="A226" s="12" t="s">
        <v>1968</v>
      </c>
      <c r="B226" s="12" t="s">
        <v>974</v>
      </c>
      <c r="C226" s="12" t="s">
        <v>1389</v>
      </c>
      <c r="D226" s="12" t="s">
        <v>248</v>
      </c>
      <c r="E226" s="12" t="s">
        <v>1385</v>
      </c>
      <c r="F226" s="12" t="s">
        <v>1432</v>
      </c>
      <c r="G226" s="13" t="s">
        <v>1969</v>
      </c>
      <c r="H226" s="12" t="s">
        <v>1434</v>
      </c>
      <c r="I226" s="12" t="s">
        <v>174</v>
      </c>
    </row>
    <row r="227" customFormat="false" ht="23.85" hidden="false" customHeight="false" outlineLevel="0" collapsed="false">
      <c r="A227" s="12" t="s">
        <v>1970</v>
      </c>
      <c r="B227" s="12" t="s">
        <v>1351</v>
      </c>
      <c r="C227" s="12" t="s">
        <v>1378</v>
      </c>
      <c r="D227" s="12" t="s">
        <v>257</v>
      </c>
      <c r="E227" s="12" t="s">
        <v>1379</v>
      </c>
      <c r="F227" s="12" t="s">
        <v>1971</v>
      </c>
      <c r="G227" s="13" t="s">
        <v>1972</v>
      </c>
      <c r="H227" s="12" t="s">
        <v>1382</v>
      </c>
      <c r="I227" s="12" t="s">
        <v>174</v>
      </c>
    </row>
    <row r="228" customFormat="false" ht="23.85" hidden="false" customHeight="false" outlineLevel="0" collapsed="false">
      <c r="A228" s="12" t="s">
        <v>1973</v>
      </c>
      <c r="B228" s="12" t="s">
        <v>1351</v>
      </c>
      <c r="C228" s="12" t="s">
        <v>1389</v>
      </c>
      <c r="D228" s="12" t="s">
        <v>1357</v>
      </c>
      <c r="E228" s="12" t="s">
        <v>1385</v>
      </c>
      <c r="F228" s="12" t="s">
        <v>1974</v>
      </c>
      <c r="G228" s="13" t="s">
        <v>1975</v>
      </c>
      <c r="H228" s="12" t="s">
        <v>1382</v>
      </c>
      <c r="I228" s="12" t="s">
        <v>174</v>
      </c>
    </row>
    <row r="229" customFormat="false" ht="23.85" hidden="false" customHeight="false" outlineLevel="0" collapsed="false">
      <c r="A229" s="12" t="s">
        <v>1976</v>
      </c>
      <c r="B229" s="12" t="s">
        <v>981</v>
      </c>
      <c r="C229" s="12" t="s">
        <v>1384</v>
      </c>
      <c r="D229" s="12" t="s">
        <v>989</v>
      </c>
      <c r="E229" s="12" t="s">
        <v>1379</v>
      </c>
      <c r="F229" s="12" t="s">
        <v>1977</v>
      </c>
      <c r="G229" s="13" t="s">
        <v>1978</v>
      </c>
      <c r="H229" s="12" t="s">
        <v>1382</v>
      </c>
      <c r="I229" s="12" t="s">
        <v>174</v>
      </c>
    </row>
    <row r="230" customFormat="false" ht="23.85" hidden="false" customHeight="false" outlineLevel="0" collapsed="false">
      <c r="A230" s="12" t="s">
        <v>1979</v>
      </c>
      <c r="B230" s="12" t="s">
        <v>981</v>
      </c>
      <c r="C230" s="12" t="s">
        <v>1389</v>
      </c>
      <c r="D230" s="12" t="s">
        <v>988</v>
      </c>
      <c r="E230" s="12" t="s">
        <v>1385</v>
      </c>
      <c r="F230" s="12" t="s">
        <v>1980</v>
      </c>
      <c r="G230" s="13" t="s">
        <v>1981</v>
      </c>
      <c r="H230" s="12" t="s">
        <v>1382</v>
      </c>
      <c r="I230" s="12" t="s">
        <v>174</v>
      </c>
    </row>
    <row r="231" customFormat="false" ht="23.85" hidden="false" customHeight="false" outlineLevel="0" collapsed="false">
      <c r="A231" s="12" t="s">
        <v>1982</v>
      </c>
      <c r="B231" s="12" t="s">
        <v>993</v>
      </c>
      <c r="C231" s="12" t="s">
        <v>1378</v>
      </c>
      <c r="D231" s="12" t="s">
        <v>999</v>
      </c>
      <c r="E231" s="12" t="s">
        <v>1385</v>
      </c>
      <c r="F231" s="12" t="s">
        <v>1983</v>
      </c>
      <c r="G231" s="13" t="s">
        <v>1984</v>
      </c>
      <c r="H231" s="12" t="s">
        <v>1382</v>
      </c>
      <c r="I231" s="12" t="s">
        <v>174</v>
      </c>
    </row>
    <row r="232" customFormat="false" ht="23.85" hidden="false" customHeight="false" outlineLevel="0" collapsed="false">
      <c r="A232" s="12" t="s">
        <v>1985</v>
      </c>
      <c r="B232" s="12" t="s">
        <v>993</v>
      </c>
      <c r="C232" s="12" t="s">
        <v>1389</v>
      </c>
      <c r="D232" s="12" t="s">
        <v>511</v>
      </c>
      <c r="E232" s="12" t="s">
        <v>1385</v>
      </c>
      <c r="F232" s="12" t="s">
        <v>1986</v>
      </c>
      <c r="G232" s="13" t="s">
        <v>1987</v>
      </c>
      <c r="H232" s="12" t="s">
        <v>1382</v>
      </c>
      <c r="I232" s="12" t="s">
        <v>174</v>
      </c>
    </row>
    <row r="233" customFormat="false" ht="23.85" hidden="false" customHeight="false" outlineLevel="0" collapsed="false">
      <c r="A233" s="12" t="s">
        <v>1988</v>
      </c>
      <c r="B233" s="12" t="s">
        <v>1327</v>
      </c>
      <c r="C233" s="12" t="s">
        <v>1384</v>
      </c>
      <c r="D233" s="12" t="s">
        <v>1334</v>
      </c>
      <c r="E233" s="12" t="s">
        <v>1385</v>
      </c>
      <c r="F233" s="12" t="s">
        <v>1989</v>
      </c>
      <c r="G233" s="13" t="s">
        <v>1990</v>
      </c>
      <c r="H233" s="12" t="s">
        <v>1382</v>
      </c>
      <c r="I233" s="12" t="s">
        <v>174</v>
      </c>
    </row>
    <row r="234" customFormat="false" ht="23.85" hidden="false" customHeight="false" outlineLevel="0" collapsed="false">
      <c r="A234" s="12" t="s">
        <v>1991</v>
      </c>
      <c r="B234" s="12" t="s">
        <v>1327</v>
      </c>
      <c r="C234" s="12" t="s">
        <v>1389</v>
      </c>
      <c r="D234" s="12" t="s">
        <v>1334</v>
      </c>
      <c r="E234" s="12" t="s">
        <v>1385</v>
      </c>
      <c r="F234" s="12" t="s">
        <v>1989</v>
      </c>
      <c r="G234" s="13" t="s">
        <v>1992</v>
      </c>
      <c r="H234" s="12" t="s">
        <v>1382</v>
      </c>
      <c r="I234" s="12" t="s">
        <v>174</v>
      </c>
    </row>
    <row r="235" customFormat="false" ht="15" hidden="false" customHeight="false" outlineLevel="0" collapsed="false">
      <c r="A235" s="12" t="s">
        <v>1993</v>
      </c>
      <c r="B235" s="12" t="s">
        <v>1327</v>
      </c>
      <c r="C235" s="12" t="s">
        <v>1389</v>
      </c>
      <c r="D235" s="12" t="s">
        <v>541</v>
      </c>
      <c r="E235" s="12" t="s">
        <v>1379</v>
      </c>
      <c r="F235" s="12" t="s">
        <v>1634</v>
      </c>
      <c r="G235" s="13" t="s">
        <v>1994</v>
      </c>
      <c r="H235" s="12" t="s">
        <v>1447</v>
      </c>
      <c r="I235" s="12" t="s">
        <v>174</v>
      </c>
    </row>
    <row r="236" customFormat="false" ht="23.85" hidden="false" customHeight="false" outlineLevel="0" collapsed="false">
      <c r="A236" s="12" t="s">
        <v>1995</v>
      </c>
      <c r="B236" s="12" t="s">
        <v>1004</v>
      </c>
      <c r="C236" s="12" t="s">
        <v>1378</v>
      </c>
      <c r="D236" s="12" t="s">
        <v>1015</v>
      </c>
      <c r="E236" s="12" t="s">
        <v>1385</v>
      </c>
      <c r="F236" s="12" t="s">
        <v>1996</v>
      </c>
      <c r="G236" s="13" t="s">
        <v>1997</v>
      </c>
      <c r="H236" s="12" t="s">
        <v>1382</v>
      </c>
      <c r="I236" s="12" t="s">
        <v>174</v>
      </c>
    </row>
    <row r="237" customFormat="false" ht="15" hidden="false" customHeight="false" outlineLevel="0" collapsed="false">
      <c r="A237" s="12" t="s">
        <v>1998</v>
      </c>
      <c r="B237" s="12" t="s">
        <v>1004</v>
      </c>
      <c r="C237" s="12" t="s">
        <v>1389</v>
      </c>
      <c r="D237" s="12" t="s">
        <v>1015</v>
      </c>
      <c r="E237" s="12" t="s">
        <v>1385</v>
      </c>
      <c r="F237" s="12" t="s">
        <v>1996</v>
      </c>
      <c r="G237" s="13" t="s">
        <v>1999</v>
      </c>
      <c r="H237" s="12" t="s">
        <v>1382</v>
      </c>
      <c r="I237" s="12" t="s">
        <v>174</v>
      </c>
    </row>
    <row r="238" customFormat="false" ht="23.85" hidden="false" customHeight="false" outlineLevel="0" collapsed="false">
      <c r="A238" s="12" t="s">
        <v>2000</v>
      </c>
      <c r="B238" s="12" t="s">
        <v>1018</v>
      </c>
      <c r="C238" s="12" t="s">
        <v>1384</v>
      </c>
      <c r="D238" s="12" t="s">
        <v>1022</v>
      </c>
      <c r="E238" s="12" t="s">
        <v>1385</v>
      </c>
      <c r="F238" s="12" t="s">
        <v>1964</v>
      </c>
      <c r="G238" s="13" t="s">
        <v>2001</v>
      </c>
      <c r="H238" s="12" t="s">
        <v>1382</v>
      </c>
      <c r="I238" s="12" t="s">
        <v>174</v>
      </c>
    </row>
    <row r="239" customFormat="false" ht="23.85" hidden="false" customHeight="false" outlineLevel="0" collapsed="false">
      <c r="A239" s="12" t="s">
        <v>2002</v>
      </c>
      <c r="B239" s="12" t="s">
        <v>1018</v>
      </c>
      <c r="C239" s="12" t="s">
        <v>1389</v>
      </c>
      <c r="D239" s="12" t="s">
        <v>164</v>
      </c>
      <c r="E239" s="12" t="s">
        <v>1385</v>
      </c>
      <c r="F239" s="12" t="s">
        <v>1390</v>
      </c>
      <c r="G239" s="13" t="s">
        <v>2003</v>
      </c>
      <c r="H239" s="12" t="s">
        <v>1382</v>
      </c>
      <c r="I239" s="12" t="s">
        <v>174</v>
      </c>
    </row>
    <row r="240" customFormat="false" ht="23.85" hidden="false" customHeight="false" outlineLevel="0" collapsed="false">
      <c r="A240" s="12" t="s">
        <v>2004</v>
      </c>
      <c r="B240" s="12" t="s">
        <v>1018</v>
      </c>
      <c r="C240" s="12" t="s">
        <v>1389</v>
      </c>
      <c r="D240" s="12" t="s">
        <v>248</v>
      </c>
      <c r="E240" s="12" t="s">
        <v>1385</v>
      </c>
      <c r="F240" s="12" t="s">
        <v>1432</v>
      </c>
      <c r="G240" s="13" t="s">
        <v>2005</v>
      </c>
      <c r="H240" s="12" t="s">
        <v>1434</v>
      </c>
      <c r="I240" s="12" t="s">
        <v>174</v>
      </c>
    </row>
    <row r="241" customFormat="false" ht="23.85" hidden="false" customHeight="false" outlineLevel="0" collapsed="false">
      <c r="A241" s="12" t="s">
        <v>2006</v>
      </c>
      <c r="B241" s="12" t="s">
        <v>1024</v>
      </c>
      <c r="C241" s="12" t="s">
        <v>1378</v>
      </c>
      <c r="D241" s="12" t="s">
        <v>1033</v>
      </c>
      <c r="E241" s="12" t="s">
        <v>1379</v>
      </c>
      <c r="F241" s="12" t="s">
        <v>2007</v>
      </c>
      <c r="G241" s="13" t="s">
        <v>2008</v>
      </c>
      <c r="H241" s="12" t="s">
        <v>1382</v>
      </c>
      <c r="I241" s="12" t="s">
        <v>174</v>
      </c>
    </row>
    <row r="242" customFormat="false" ht="15" hidden="false" customHeight="false" outlineLevel="0" collapsed="false">
      <c r="A242" s="12" t="s">
        <v>2009</v>
      </c>
      <c r="B242" s="12" t="s">
        <v>1024</v>
      </c>
      <c r="C242" s="12" t="s">
        <v>1389</v>
      </c>
      <c r="D242" s="12" t="s">
        <v>1032</v>
      </c>
      <c r="E242" s="12" t="s">
        <v>1385</v>
      </c>
      <c r="F242" s="12" t="s">
        <v>2007</v>
      </c>
      <c r="G242" s="13" t="s">
        <v>2010</v>
      </c>
      <c r="H242" s="12" t="s">
        <v>1382</v>
      </c>
      <c r="I242" s="12" t="s">
        <v>174</v>
      </c>
    </row>
    <row r="243" customFormat="false" ht="23.85" hidden="false" customHeight="false" outlineLevel="0" collapsed="false">
      <c r="A243" s="12" t="s">
        <v>2011</v>
      </c>
      <c r="B243" s="12" t="s">
        <v>1036</v>
      </c>
      <c r="C243" s="12" t="s">
        <v>1378</v>
      </c>
      <c r="D243" s="12" t="s">
        <v>1045</v>
      </c>
      <c r="E243" s="12" t="s">
        <v>1385</v>
      </c>
      <c r="F243" s="12" t="s">
        <v>2012</v>
      </c>
      <c r="G243" s="13" t="s">
        <v>2013</v>
      </c>
      <c r="H243" s="12" t="s">
        <v>1382</v>
      </c>
      <c r="I243" s="12" t="s">
        <v>174</v>
      </c>
    </row>
    <row r="244" customFormat="false" ht="23.85" hidden="false" customHeight="false" outlineLevel="0" collapsed="false">
      <c r="A244" s="12" t="s">
        <v>2014</v>
      </c>
      <c r="B244" s="12" t="s">
        <v>1036</v>
      </c>
      <c r="C244" s="12" t="s">
        <v>1389</v>
      </c>
      <c r="D244" s="12" t="s">
        <v>1044</v>
      </c>
      <c r="E244" s="12" t="s">
        <v>1385</v>
      </c>
      <c r="F244" s="12" t="s">
        <v>1427</v>
      </c>
      <c r="G244" s="13" t="s">
        <v>2015</v>
      </c>
      <c r="H244" s="12" t="s">
        <v>1382</v>
      </c>
      <c r="I244" s="12" t="s">
        <v>174</v>
      </c>
    </row>
    <row r="245" customFormat="false" ht="23.85" hidden="false" customHeight="false" outlineLevel="0" collapsed="false">
      <c r="A245" s="12" t="s">
        <v>2016</v>
      </c>
      <c r="B245" s="12" t="s">
        <v>1048</v>
      </c>
      <c r="C245" s="12" t="s">
        <v>1384</v>
      </c>
      <c r="D245" s="12" t="s">
        <v>604</v>
      </c>
      <c r="E245" s="12" t="s">
        <v>1379</v>
      </c>
      <c r="F245" s="12" t="s">
        <v>2017</v>
      </c>
      <c r="G245" s="13" t="s">
        <v>2018</v>
      </c>
      <c r="H245" s="12" t="s">
        <v>1382</v>
      </c>
      <c r="I245" s="12" t="s">
        <v>174</v>
      </c>
    </row>
    <row r="246" customFormat="false" ht="15" hidden="false" customHeight="false" outlineLevel="0" collapsed="false">
      <c r="A246" s="12" t="s">
        <v>2019</v>
      </c>
      <c r="B246" s="12" t="s">
        <v>1048</v>
      </c>
      <c r="C246" s="12" t="s">
        <v>1389</v>
      </c>
      <c r="D246" s="12" t="s">
        <v>464</v>
      </c>
      <c r="E246" s="12" t="s">
        <v>1385</v>
      </c>
      <c r="F246" s="12" t="s">
        <v>2017</v>
      </c>
      <c r="G246" s="13" t="s">
        <v>2020</v>
      </c>
      <c r="H246" s="12" t="s">
        <v>1382</v>
      </c>
      <c r="I246" s="12" t="s">
        <v>174</v>
      </c>
    </row>
    <row r="247" customFormat="false" ht="23.85" hidden="false" customHeight="false" outlineLevel="0" collapsed="false">
      <c r="A247" s="12" t="s">
        <v>2021</v>
      </c>
      <c r="B247" s="12" t="s">
        <v>1056</v>
      </c>
      <c r="C247" s="12" t="s">
        <v>1378</v>
      </c>
      <c r="D247" s="12" t="s">
        <v>757</v>
      </c>
      <c r="E247" s="12" t="s">
        <v>1379</v>
      </c>
      <c r="F247" s="12" t="s">
        <v>2022</v>
      </c>
      <c r="G247" s="13" t="s">
        <v>2023</v>
      </c>
      <c r="H247" s="12" t="s">
        <v>1382</v>
      </c>
      <c r="I247" s="12" t="s">
        <v>174</v>
      </c>
    </row>
    <row r="248" customFormat="false" ht="15" hidden="false" customHeight="false" outlineLevel="0" collapsed="false">
      <c r="A248" s="12" t="s">
        <v>2024</v>
      </c>
      <c r="B248" s="12" t="s">
        <v>1056</v>
      </c>
      <c r="C248" s="12" t="s">
        <v>1389</v>
      </c>
      <c r="D248" s="12" t="s">
        <v>1061</v>
      </c>
      <c r="E248" s="12" t="s">
        <v>1385</v>
      </c>
      <c r="F248" s="12" t="s">
        <v>2022</v>
      </c>
      <c r="G248" s="13" t="s">
        <v>2025</v>
      </c>
      <c r="H248" s="12" t="s">
        <v>1382</v>
      </c>
      <c r="I248" s="12" t="s">
        <v>174</v>
      </c>
    </row>
    <row r="249" customFormat="false" ht="23.85" hidden="false" customHeight="false" outlineLevel="0" collapsed="false">
      <c r="A249" s="12" t="s">
        <v>2026</v>
      </c>
      <c r="B249" s="12" t="s">
        <v>1063</v>
      </c>
      <c r="C249" s="12" t="s">
        <v>1378</v>
      </c>
      <c r="D249" s="12" t="s">
        <v>1073</v>
      </c>
      <c r="E249" s="12" t="s">
        <v>1379</v>
      </c>
      <c r="F249" s="12" t="s">
        <v>2027</v>
      </c>
      <c r="G249" s="13" t="s">
        <v>2028</v>
      </c>
      <c r="H249" s="12" t="s">
        <v>1382</v>
      </c>
      <c r="I249" s="12" t="s">
        <v>174</v>
      </c>
    </row>
    <row r="250" customFormat="false" ht="23.85" hidden="false" customHeight="false" outlineLevel="0" collapsed="false">
      <c r="A250" s="12" t="s">
        <v>2029</v>
      </c>
      <c r="B250" s="12" t="s">
        <v>1063</v>
      </c>
      <c r="C250" s="12" t="s">
        <v>1389</v>
      </c>
      <c r="D250" s="12" t="s">
        <v>1072</v>
      </c>
      <c r="E250" s="12" t="s">
        <v>1385</v>
      </c>
      <c r="F250" s="12" t="s">
        <v>2027</v>
      </c>
      <c r="G250" s="13" t="s">
        <v>2030</v>
      </c>
      <c r="H250" s="12" t="s">
        <v>1382</v>
      </c>
      <c r="I250" s="12" t="s">
        <v>174</v>
      </c>
    </row>
    <row r="251" customFormat="false" ht="23.85" hidden="false" customHeight="false" outlineLevel="0" collapsed="false">
      <c r="A251" s="12" t="s">
        <v>2031</v>
      </c>
      <c r="B251" s="12" t="s">
        <v>1076</v>
      </c>
      <c r="C251" s="12" t="s">
        <v>1378</v>
      </c>
      <c r="D251" s="12" t="s">
        <v>1085</v>
      </c>
      <c r="E251" s="12" t="s">
        <v>1379</v>
      </c>
      <c r="F251" s="12" t="s">
        <v>2032</v>
      </c>
      <c r="G251" s="13" t="s">
        <v>2033</v>
      </c>
      <c r="H251" s="12" t="s">
        <v>1382</v>
      </c>
      <c r="I251" s="12" t="s">
        <v>174</v>
      </c>
    </row>
    <row r="252" customFormat="false" ht="23.85" hidden="false" customHeight="false" outlineLevel="0" collapsed="false">
      <c r="A252" s="12" t="s">
        <v>2034</v>
      </c>
      <c r="B252" s="12" t="s">
        <v>1076</v>
      </c>
      <c r="C252" s="12" t="s">
        <v>1389</v>
      </c>
      <c r="D252" s="12" t="s">
        <v>1044</v>
      </c>
      <c r="E252" s="12" t="s">
        <v>1385</v>
      </c>
      <c r="F252" s="12" t="s">
        <v>1427</v>
      </c>
      <c r="G252" s="13" t="s">
        <v>2035</v>
      </c>
      <c r="H252" s="12" t="s">
        <v>1382</v>
      </c>
      <c r="I252" s="12" t="s">
        <v>174</v>
      </c>
    </row>
    <row r="253" customFormat="false" ht="23.85" hidden="false" customHeight="false" outlineLevel="0" collapsed="false">
      <c r="A253" s="12" t="s">
        <v>2036</v>
      </c>
      <c r="B253" s="12" t="s">
        <v>1087</v>
      </c>
      <c r="C253" s="12" t="s">
        <v>1378</v>
      </c>
      <c r="D253" s="12" t="s">
        <v>1094</v>
      </c>
      <c r="E253" s="12" t="s">
        <v>1379</v>
      </c>
      <c r="F253" s="12" t="s">
        <v>2037</v>
      </c>
      <c r="G253" s="13" t="s">
        <v>2038</v>
      </c>
      <c r="H253" s="12" t="s">
        <v>1382</v>
      </c>
      <c r="I253" s="12" t="s">
        <v>174</v>
      </c>
    </row>
    <row r="254" customFormat="false" ht="23.85" hidden="false" customHeight="false" outlineLevel="0" collapsed="false">
      <c r="A254" s="12" t="s">
        <v>2039</v>
      </c>
      <c r="B254" s="12" t="s">
        <v>1087</v>
      </c>
      <c r="C254" s="12" t="s">
        <v>1389</v>
      </c>
      <c r="D254" s="12" t="s">
        <v>1093</v>
      </c>
      <c r="E254" s="12" t="s">
        <v>1385</v>
      </c>
      <c r="F254" s="12" t="s">
        <v>2037</v>
      </c>
      <c r="G254" s="13" t="s">
        <v>2040</v>
      </c>
      <c r="H254" s="12" t="s">
        <v>1382</v>
      </c>
      <c r="I254" s="12" t="s">
        <v>174</v>
      </c>
    </row>
    <row r="255" customFormat="false" ht="23.85" hidden="false" customHeight="false" outlineLevel="0" collapsed="false">
      <c r="A255" s="12" t="s">
        <v>2041</v>
      </c>
      <c r="B255" s="12" t="s">
        <v>1098</v>
      </c>
      <c r="C255" s="12" t="s">
        <v>1378</v>
      </c>
      <c r="D255" s="12" t="s">
        <v>1107</v>
      </c>
      <c r="E255" s="12" t="s">
        <v>1379</v>
      </c>
      <c r="F255" s="12" t="s">
        <v>2042</v>
      </c>
      <c r="G255" s="13" t="s">
        <v>2043</v>
      </c>
      <c r="H255" s="12" t="s">
        <v>1382</v>
      </c>
      <c r="I255" s="12" t="s">
        <v>174</v>
      </c>
    </row>
    <row r="256" customFormat="false" ht="23.85" hidden="false" customHeight="false" outlineLevel="0" collapsed="false">
      <c r="A256" s="12" t="s">
        <v>2044</v>
      </c>
      <c r="B256" s="12" t="s">
        <v>1098</v>
      </c>
      <c r="C256" s="12" t="s">
        <v>1384</v>
      </c>
      <c r="D256" s="12" t="s">
        <v>1108</v>
      </c>
      <c r="E256" s="12" t="s">
        <v>1385</v>
      </c>
      <c r="F256" s="12" t="s">
        <v>2045</v>
      </c>
      <c r="G256" s="13" t="s">
        <v>2046</v>
      </c>
      <c r="H256" s="12" t="s">
        <v>1382</v>
      </c>
      <c r="I256" s="12" t="s">
        <v>174</v>
      </c>
    </row>
    <row r="257" customFormat="false" ht="23.85" hidden="false" customHeight="false" outlineLevel="0" collapsed="false">
      <c r="A257" s="12" t="s">
        <v>2047</v>
      </c>
      <c r="B257" s="12" t="s">
        <v>1098</v>
      </c>
      <c r="C257" s="12" t="s">
        <v>1389</v>
      </c>
      <c r="D257" s="12" t="n">
        <v>2025</v>
      </c>
      <c r="E257" s="12" t="s">
        <v>1445</v>
      </c>
      <c r="F257" s="12" t="s">
        <v>2048</v>
      </c>
      <c r="G257" s="13" t="s">
        <v>2049</v>
      </c>
      <c r="H257" s="12" t="s">
        <v>1382</v>
      </c>
      <c r="I257" s="12" t="s">
        <v>174</v>
      </c>
    </row>
    <row r="258" customFormat="false" ht="15" hidden="false" customHeight="false" outlineLevel="0" collapsed="false">
      <c r="A258" s="12" t="s">
        <v>2050</v>
      </c>
      <c r="B258" s="12" t="s">
        <v>1098</v>
      </c>
      <c r="C258" s="12" t="s">
        <v>1389</v>
      </c>
      <c r="D258" s="12" t="s">
        <v>541</v>
      </c>
      <c r="E258" s="12" t="s">
        <v>1379</v>
      </c>
      <c r="F258" s="12" t="s">
        <v>1634</v>
      </c>
      <c r="G258" s="13" t="s">
        <v>2051</v>
      </c>
      <c r="H258" s="12" t="s">
        <v>1447</v>
      </c>
      <c r="I258" s="12" t="s">
        <v>174</v>
      </c>
    </row>
    <row r="259" customFormat="false" ht="23.85" hidden="false" customHeight="false" outlineLevel="0" collapsed="false">
      <c r="A259" s="12" t="s">
        <v>2052</v>
      </c>
      <c r="B259" s="12" t="s">
        <v>1111</v>
      </c>
      <c r="C259" s="12" t="s">
        <v>1378</v>
      </c>
      <c r="D259" s="12" t="s">
        <v>528</v>
      </c>
      <c r="E259" s="12" t="s">
        <v>1385</v>
      </c>
      <c r="F259" s="12" t="s">
        <v>2053</v>
      </c>
      <c r="G259" s="13" t="s">
        <v>2054</v>
      </c>
      <c r="H259" s="12" t="s">
        <v>1382</v>
      </c>
      <c r="I259" s="12" t="s">
        <v>174</v>
      </c>
    </row>
    <row r="260" customFormat="false" ht="23.85" hidden="false" customHeight="false" outlineLevel="0" collapsed="false">
      <c r="A260" s="12" t="s">
        <v>2055</v>
      </c>
      <c r="B260" s="12" t="s">
        <v>1111</v>
      </c>
      <c r="C260" s="12" t="s">
        <v>1384</v>
      </c>
      <c r="D260" s="12" t="s">
        <v>1117</v>
      </c>
      <c r="E260" s="12" t="s">
        <v>1379</v>
      </c>
      <c r="F260" s="12" t="s">
        <v>2056</v>
      </c>
      <c r="G260" s="13" t="s">
        <v>2057</v>
      </c>
      <c r="H260" s="12" t="s">
        <v>1382</v>
      </c>
      <c r="I260" s="12" t="s">
        <v>174</v>
      </c>
    </row>
    <row r="261" customFormat="false" ht="23.85" hidden="false" customHeight="false" outlineLevel="0" collapsed="false">
      <c r="A261" s="12" t="s">
        <v>2058</v>
      </c>
      <c r="B261" s="12" t="s">
        <v>1111</v>
      </c>
      <c r="C261" s="12" t="s">
        <v>1389</v>
      </c>
      <c r="D261" s="12" t="s">
        <v>1116</v>
      </c>
      <c r="E261" s="12" t="s">
        <v>1385</v>
      </c>
      <c r="F261" s="12" t="s">
        <v>2059</v>
      </c>
      <c r="G261" s="13" t="s">
        <v>2060</v>
      </c>
      <c r="H261" s="12" t="s">
        <v>1382</v>
      </c>
      <c r="I261" s="12" t="s">
        <v>174</v>
      </c>
    </row>
    <row r="262" customFormat="false" ht="23.85" hidden="false" customHeight="false" outlineLevel="0" collapsed="false">
      <c r="A262" s="12" t="s">
        <v>2061</v>
      </c>
      <c r="B262" s="12" t="s">
        <v>1120</v>
      </c>
      <c r="C262" s="12" t="s">
        <v>1384</v>
      </c>
      <c r="D262" s="12" t="s">
        <v>528</v>
      </c>
      <c r="E262" s="12" t="s">
        <v>1385</v>
      </c>
      <c r="F262" s="12" t="s">
        <v>2053</v>
      </c>
      <c r="G262" s="13" t="s">
        <v>2062</v>
      </c>
      <c r="H262" s="12" t="s">
        <v>1382</v>
      </c>
      <c r="I262" s="12" t="s">
        <v>174</v>
      </c>
    </row>
    <row r="263" customFormat="false" ht="23.85" hidden="false" customHeight="false" outlineLevel="0" collapsed="false">
      <c r="A263" s="12" t="s">
        <v>2063</v>
      </c>
      <c r="B263" s="12" t="s">
        <v>1120</v>
      </c>
      <c r="C263" s="12" t="s">
        <v>1389</v>
      </c>
      <c r="D263" s="12" t="s">
        <v>1116</v>
      </c>
      <c r="E263" s="12" t="s">
        <v>1385</v>
      </c>
      <c r="F263" s="12" t="s">
        <v>2059</v>
      </c>
      <c r="G263" s="13" t="s">
        <v>2064</v>
      </c>
      <c r="H263" s="12" t="s">
        <v>1382</v>
      </c>
      <c r="I263" s="12" t="s">
        <v>174</v>
      </c>
    </row>
    <row r="264" customFormat="false" ht="23.85" hidden="false" customHeight="false" outlineLevel="0" collapsed="false">
      <c r="A264" s="12" t="s">
        <v>2065</v>
      </c>
      <c r="B264" s="12" t="s">
        <v>1126</v>
      </c>
      <c r="C264" s="12" t="s">
        <v>1378</v>
      </c>
      <c r="D264" s="12" t="s">
        <v>717</v>
      </c>
      <c r="E264" s="12" t="s">
        <v>1379</v>
      </c>
      <c r="F264" s="12" t="s">
        <v>2066</v>
      </c>
      <c r="G264" s="13" t="s">
        <v>2067</v>
      </c>
      <c r="H264" s="12" t="s">
        <v>1382</v>
      </c>
      <c r="I264" s="12" t="s">
        <v>174</v>
      </c>
    </row>
    <row r="265" customFormat="false" ht="23.85" hidden="false" customHeight="false" outlineLevel="0" collapsed="false">
      <c r="A265" s="12" t="s">
        <v>2068</v>
      </c>
      <c r="B265" s="12" t="s">
        <v>1126</v>
      </c>
      <c r="C265" s="12" t="s">
        <v>1384</v>
      </c>
      <c r="D265" s="12" t="s">
        <v>717</v>
      </c>
      <c r="E265" s="12" t="s">
        <v>1379</v>
      </c>
      <c r="F265" s="12" t="s">
        <v>2069</v>
      </c>
      <c r="G265" s="13" t="s">
        <v>2070</v>
      </c>
      <c r="H265" s="12" t="s">
        <v>1382</v>
      </c>
      <c r="I265" s="12" t="s">
        <v>174</v>
      </c>
    </row>
    <row r="266" customFormat="false" ht="23.85" hidden="false" customHeight="false" outlineLevel="0" collapsed="false">
      <c r="A266" s="12" t="s">
        <v>2071</v>
      </c>
      <c r="B266" s="12" t="s">
        <v>1126</v>
      </c>
      <c r="C266" s="12" t="s">
        <v>1389</v>
      </c>
      <c r="D266" s="12" t="s">
        <v>1135</v>
      </c>
      <c r="E266" s="12" t="s">
        <v>1385</v>
      </c>
      <c r="F266" s="12" t="s">
        <v>2072</v>
      </c>
      <c r="G266" s="13" t="s">
        <v>2073</v>
      </c>
      <c r="H266" s="12" t="s">
        <v>1382</v>
      </c>
      <c r="I266" s="12" t="s">
        <v>174</v>
      </c>
    </row>
    <row r="267" customFormat="false" ht="23.85" hidden="false" customHeight="false" outlineLevel="0" collapsed="false">
      <c r="A267" s="12" t="s">
        <v>2074</v>
      </c>
      <c r="B267" s="12" t="s">
        <v>1137</v>
      </c>
      <c r="C267" s="12" t="s">
        <v>1378</v>
      </c>
      <c r="D267" s="12" t="s">
        <v>476</v>
      </c>
      <c r="E267" s="12" t="s">
        <v>1379</v>
      </c>
      <c r="F267" s="12" t="s">
        <v>2075</v>
      </c>
      <c r="G267" s="13" t="s">
        <v>2076</v>
      </c>
      <c r="H267" s="12" t="s">
        <v>1382</v>
      </c>
      <c r="I267" s="12" t="s">
        <v>174</v>
      </c>
    </row>
    <row r="268" customFormat="false" ht="23.85" hidden="false" customHeight="false" outlineLevel="0" collapsed="false">
      <c r="A268" s="12" t="s">
        <v>2077</v>
      </c>
      <c r="B268" s="12" t="s">
        <v>1137</v>
      </c>
      <c r="C268" s="12" t="s">
        <v>1384</v>
      </c>
      <c r="D268" s="12" t="s">
        <v>1143</v>
      </c>
      <c r="E268" s="12" t="s">
        <v>1379</v>
      </c>
      <c r="F268" s="12" t="s">
        <v>2078</v>
      </c>
      <c r="G268" s="13" t="s">
        <v>2079</v>
      </c>
      <c r="H268" s="12" t="s">
        <v>1382</v>
      </c>
      <c r="I268" s="12" t="s">
        <v>174</v>
      </c>
    </row>
    <row r="269" customFormat="false" ht="23.85" hidden="false" customHeight="false" outlineLevel="0" collapsed="false">
      <c r="A269" s="12" t="s">
        <v>2080</v>
      </c>
      <c r="B269" s="12" t="s">
        <v>1137</v>
      </c>
      <c r="C269" s="12" t="s">
        <v>1389</v>
      </c>
      <c r="D269" s="12" t="s">
        <v>1142</v>
      </c>
      <c r="E269" s="12" t="s">
        <v>1385</v>
      </c>
      <c r="F269" s="12" t="s">
        <v>2081</v>
      </c>
      <c r="G269" s="13" t="s">
        <v>2082</v>
      </c>
      <c r="H269" s="12" t="s">
        <v>1382</v>
      </c>
      <c r="I269" s="12" t="s">
        <v>174</v>
      </c>
    </row>
    <row r="270" customFormat="false" ht="23.85" hidden="false" customHeight="false" outlineLevel="0" collapsed="false">
      <c r="A270" s="12" t="s">
        <v>2083</v>
      </c>
      <c r="B270" s="12" t="s">
        <v>1147</v>
      </c>
      <c r="C270" s="12" t="s">
        <v>1461</v>
      </c>
      <c r="D270" s="12" t="s">
        <v>1154</v>
      </c>
      <c r="E270" s="12" t="s">
        <v>1379</v>
      </c>
      <c r="F270" s="12" t="s">
        <v>2084</v>
      </c>
      <c r="G270" s="13" t="s">
        <v>2085</v>
      </c>
      <c r="H270" s="12" t="s">
        <v>1382</v>
      </c>
      <c r="I270" s="12" t="s">
        <v>174</v>
      </c>
    </row>
    <row r="271" customFormat="false" ht="23.85" hidden="false" customHeight="false" outlineLevel="0" collapsed="false">
      <c r="A271" s="12" t="s">
        <v>2086</v>
      </c>
      <c r="B271" s="12" t="s">
        <v>1147</v>
      </c>
      <c r="C271" s="12" t="s">
        <v>1389</v>
      </c>
      <c r="D271" s="12" t="s">
        <v>1153</v>
      </c>
      <c r="E271" s="12" t="s">
        <v>1379</v>
      </c>
      <c r="F271" s="12" t="s">
        <v>2087</v>
      </c>
      <c r="G271" s="13" t="s">
        <v>2088</v>
      </c>
      <c r="H271" s="12" t="s">
        <v>1382</v>
      </c>
      <c r="I271" s="12" t="s">
        <v>174</v>
      </c>
    </row>
    <row r="272" customFormat="false" ht="15" hidden="false" customHeight="false" outlineLevel="0" collapsed="false">
      <c r="A272" s="12" t="s">
        <v>2089</v>
      </c>
      <c r="B272" s="12" t="s">
        <v>1156</v>
      </c>
      <c r="C272" s="12" t="s">
        <v>1461</v>
      </c>
      <c r="D272" s="12" t="s">
        <v>1162</v>
      </c>
      <c r="E272" s="12" t="s">
        <v>1379</v>
      </c>
      <c r="F272" s="12" t="s">
        <v>2090</v>
      </c>
      <c r="G272" s="13" t="s">
        <v>2091</v>
      </c>
      <c r="H272" s="12" t="s">
        <v>1382</v>
      </c>
      <c r="I272" s="12" t="s">
        <v>174</v>
      </c>
    </row>
    <row r="273" customFormat="false" ht="23.85" hidden="false" customHeight="false" outlineLevel="0" collapsed="false">
      <c r="A273" s="12" t="s">
        <v>2092</v>
      </c>
      <c r="B273" s="12" t="s">
        <v>1156</v>
      </c>
      <c r="C273" s="12" t="s">
        <v>1501</v>
      </c>
      <c r="D273" s="12" t="s">
        <v>1162</v>
      </c>
      <c r="E273" s="12" t="s">
        <v>1379</v>
      </c>
      <c r="F273" s="12" t="s">
        <v>2090</v>
      </c>
      <c r="G273" s="13" t="s">
        <v>2093</v>
      </c>
      <c r="H273" s="12" t="s">
        <v>1382</v>
      </c>
      <c r="I273" s="12" t="s">
        <v>174</v>
      </c>
    </row>
    <row r="274" customFormat="false" ht="23.85" hidden="false" customHeight="false" outlineLevel="0" collapsed="false">
      <c r="A274" s="12" t="s">
        <v>2094</v>
      </c>
      <c r="B274" s="12" t="s">
        <v>1156</v>
      </c>
      <c r="C274" s="12" t="s">
        <v>1389</v>
      </c>
      <c r="D274" s="12" t="s">
        <v>1162</v>
      </c>
      <c r="E274" s="12" t="s">
        <v>1379</v>
      </c>
      <c r="F274" s="12" t="s">
        <v>2090</v>
      </c>
      <c r="G274" s="13" t="s">
        <v>2095</v>
      </c>
      <c r="H274" s="12" t="s">
        <v>1382</v>
      </c>
      <c r="I274" s="12" t="s">
        <v>174</v>
      </c>
    </row>
    <row r="275" customFormat="false" ht="23.85" hidden="false" customHeight="false" outlineLevel="0" collapsed="false">
      <c r="A275" s="12" t="s">
        <v>2096</v>
      </c>
      <c r="B275" s="12" t="s">
        <v>1165</v>
      </c>
      <c r="C275" s="12" t="s">
        <v>1378</v>
      </c>
      <c r="D275" s="12" t="s">
        <v>717</v>
      </c>
      <c r="E275" s="12" t="s">
        <v>1379</v>
      </c>
      <c r="F275" s="12" t="s">
        <v>2097</v>
      </c>
      <c r="G275" s="13" t="s">
        <v>2098</v>
      </c>
      <c r="H275" s="12" t="s">
        <v>1382</v>
      </c>
      <c r="I275" s="12" t="s">
        <v>174</v>
      </c>
    </row>
    <row r="276" customFormat="false" ht="23.85" hidden="false" customHeight="false" outlineLevel="0" collapsed="false">
      <c r="A276" s="12" t="s">
        <v>2099</v>
      </c>
      <c r="B276" s="12" t="s">
        <v>1165</v>
      </c>
      <c r="C276" s="12" t="s">
        <v>1389</v>
      </c>
      <c r="D276" s="12" t="s">
        <v>1170</v>
      </c>
      <c r="E276" s="12" t="s">
        <v>1385</v>
      </c>
      <c r="F276" s="12" t="s">
        <v>2097</v>
      </c>
      <c r="G276" s="13" t="s">
        <v>2100</v>
      </c>
      <c r="H276" s="12" t="s">
        <v>1382</v>
      </c>
      <c r="I276" s="12" t="s">
        <v>174</v>
      </c>
    </row>
    <row r="277" customFormat="false" ht="35.05" hidden="false" customHeight="false" outlineLevel="0" collapsed="false">
      <c r="A277" s="12" t="s">
        <v>2101</v>
      </c>
      <c r="B277" s="12" t="s">
        <v>1172</v>
      </c>
      <c r="C277" s="12" t="s">
        <v>1384</v>
      </c>
      <c r="D277" s="12" t="s">
        <v>1180</v>
      </c>
      <c r="E277" s="12" t="s">
        <v>1379</v>
      </c>
      <c r="F277" s="12" t="s">
        <v>2102</v>
      </c>
      <c r="G277" s="13" t="s">
        <v>2103</v>
      </c>
      <c r="H277" s="12" t="s">
        <v>1382</v>
      </c>
      <c r="I277" s="12" t="s">
        <v>174</v>
      </c>
    </row>
    <row r="278" customFormat="false" ht="23.85" hidden="false" customHeight="false" outlineLevel="0" collapsed="false">
      <c r="A278" s="12" t="s">
        <v>2104</v>
      </c>
      <c r="B278" s="12" t="s">
        <v>1172</v>
      </c>
      <c r="C278" s="12" t="s">
        <v>1389</v>
      </c>
      <c r="D278" s="12" t="s">
        <v>1179</v>
      </c>
      <c r="E278" s="12" t="s">
        <v>1379</v>
      </c>
      <c r="F278" s="12" t="s">
        <v>1427</v>
      </c>
      <c r="G278" s="13" t="s">
        <v>2105</v>
      </c>
      <c r="H278" s="12" t="s">
        <v>1382</v>
      </c>
      <c r="I278" s="12" t="s">
        <v>174</v>
      </c>
    </row>
    <row r="279" customFormat="false" ht="23.85" hidden="false" customHeight="false" outlineLevel="0" collapsed="false">
      <c r="A279" s="12" t="s">
        <v>2106</v>
      </c>
      <c r="B279" s="12" t="s">
        <v>1182</v>
      </c>
      <c r="C279" s="12" t="s">
        <v>1378</v>
      </c>
      <c r="D279" s="12" t="s">
        <v>1190</v>
      </c>
      <c r="E279" s="12" t="s">
        <v>1379</v>
      </c>
      <c r="F279" s="12" t="s">
        <v>2107</v>
      </c>
      <c r="G279" s="13" t="s">
        <v>2108</v>
      </c>
      <c r="H279" s="12" t="s">
        <v>1382</v>
      </c>
      <c r="I279" s="12" t="s">
        <v>174</v>
      </c>
    </row>
    <row r="280" customFormat="false" ht="23.85" hidden="false" customHeight="false" outlineLevel="0" collapsed="false">
      <c r="A280" s="12" t="s">
        <v>2109</v>
      </c>
      <c r="B280" s="12" t="s">
        <v>1182</v>
      </c>
      <c r="C280" s="12" t="s">
        <v>1389</v>
      </c>
      <c r="D280" s="12" t="s">
        <v>1179</v>
      </c>
      <c r="E280" s="12" t="s">
        <v>1379</v>
      </c>
      <c r="F280" s="12" t="s">
        <v>1427</v>
      </c>
      <c r="G280" s="13" t="s">
        <v>2110</v>
      </c>
      <c r="H280" s="12" t="s">
        <v>1382</v>
      </c>
      <c r="I280" s="12" t="s">
        <v>174</v>
      </c>
    </row>
    <row r="281" customFormat="false" ht="23.85" hidden="false" customHeight="false" outlineLevel="0" collapsed="false">
      <c r="A281" s="12" t="s">
        <v>2111</v>
      </c>
      <c r="B281" s="12" t="s">
        <v>1338</v>
      </c>
      <c r="C281" s="12" t="s">
        <v>1378</v>
      </c>
      <c r="D281" s="12" t="s">
        <v>1344</v>
      </c>
      <c r="E281" s="12" t="s">
        <v>1379</v>
      </c>
      <c r="F281" s="12" t="s">
        <v>2112</v>
      </c>
      <c r="G281" s="13" t="s">
        <v>2113</v>
      </c>
      <c r="H281" s="12" t="s">
        <v>1382</v>
      </c>
      <c r="I281" s="12" t="s">
        <v>174</v>
      </c>
    </row>
    <row r="282" customFormat="false" ht="23.85" hidden="false" customHeight="false" outlineLevel="0" collapsed="false">
      <c r="A282" s="12" t="s">
        <v>2114</v>
      </c>
      <c r="B282" s="12" t="s">
        <v>1338</v>
      </c>
      <c r="C282" s="12" t="s">
        <v>1461</v>
      </c>
      <c r="D282" s="12" t="s">
        <v>1344</v>
      </c>
      <c r="E282" s="12" t="s">
        <v>1379</v>
      </c>
      <c r="F282" s="12" t="s">
        <v>2115</v>
      </c>
      <c r="G282" s="13" t="s">
        <v>2116</v>
      </c>
      <c r="H282" s="12" t="s">
        <v>1382</v>
      </c>
      <c r="I282" s="12" t="s">
        <v>174</v>
      </c>
    </row>
    <row r="283" customFormat="false" ht="23.85" hidden="false" customHeight="false" outlineLevel="0" collapsed="false">
      <c r="A283" s="12" t="s">
        <v>2117</v>
      </c>
      <c r="B283" s="12" t="s">
        <v>1338</v>
      </c>
      <c r="C283" s="12" t="s">
        <v>1389</v>
      </c>
      <c r="D283" s="12" t="s">
        <v>1343</v>
      </c>
      <c r="E283" s="12" t="s">
        <v>1385</v>
      </c>
      <c r="F283" s="12" t="s">
        <v>2118</v>
      </c>
      <c r="G283" s="13" t="s">
        <v>2119</v>
      </c>
      <c r="H283" s="12" t="s">
        <v>1382</v>
      </c>
      <c r="I283" s="12" t="s">
        <v>174</v>
      </c>
    </row>
    <row r="284" customFormat="false" ht="23.85" hidden="false" customHeight="false" outlineLevel="0" collapsed="false">
      <c r="A284" s="12" t="s">
        <v>2120</v>
      </c>
      <c r="B284" s="12" t="s">
        <v>1193</v>
      </c>
      <c r="C284" s="12" t="s">
        <v>1378</v>
      </c>
      <c r="D284" s="12" t="s">
        <v>1203</v>
      </c>
      <c r="E284" s="12" t="s">
        <v>1379</v>
      </c>
      <c r="F284" s="12" t="s">
        <v>2121</v>
      </c>
      <c r="G284" s="13" t="s">
        <v>2122</v>
      </c>
      <c r="H284" s="12" t="s">
        <v>1382</v>
      </c>
      <c r="I284" s="12" t="s">
        <v>174</v>
      </c>
    </row>
    <row r="285" customFormat="false" ht="23.85" hidden="false" customHeight="false" outlineLevel="0" collapsed="false">
      <c r="A285" s="12" t="s">
        <v>2123</v>
      </c>
      <c r="B285" s="12" t="s">
        <v>1193</v>
      </c>
      <c r="C285" s="12" t="s">
        <v>1461</v>
      </c>
      <c r="D285" s="12" t="s">
        <v>1204</v>
      </c>
      <c r="E285" s="12" t="s">
        <v>1379</v>
      </c>
      <c r="F285" s="12" t="s">
        <v>2121</v>
      </c>
      <c r="G285" s="13" t="s">
        <v>2124</v>
      </c>
      <c r="H285" s="12" t="s">
        <v>1382</v>
      </c>
      <c r="I285" s="12" t="s">
        <v>174</v>
      </c>
    </row>
    <row r="286" customFormat="false" ht="23.85" hidden="false" customHeight="false" outlineLevel="0" collapsed="false">
      <c r="A286" s="12" t="s">
        <v>2125</v>
      </c>
      <c r="B286" s="12" t="s">
        <v>1193</v>
      </c>
      <c r="C286" s="12" t="s">
        <v>1389</v>
      </c>
      <c r="D286" s="12" t="s">
        <v>1179</v>
      </c>
      <c r="E286" s="12" t="s">
        <v>1379</v>
      </c>
      <c r="F286" s="12" t="s">
        <v>1427</v>
      </c>
      <c r="G286" s="13" t="s">
        <v>2126</v>
      </c>
      <c r="H286" s="12" t="s">
        <v>1382</v>
      </c>
      <c r="I286" s="12" t="s">
        <v>174</v>
      </c>
    </row>
    <row r="287" customFormat="false" ht="23.85" hidden="false" customHeight="false" outlineLevel="0" collapsed="false">
      <c r="A287" s="12" t="s">
        <v>2127</v>
      </c>
      <c r="B287" s="12" t="s">
        <v>1206</v>
      </c>
      <c r="C287" s="12" t="s">
        <v>1378</v>
      </c>
      <c r="D287" s="12" t="s">
        <v>1213</v>
      </c>
      <c r="E287" s="12" t="s">
        <v>1385</v>
      </c>
      <c r="F287" s="12" t="s">
        <v>2128</v>
      </c>
      <c r="G287" s="13" t="s">
        <v>2129</v>
      </c>
      <c r="H287" s="12" t="s">
        <v>1382</v>
      </c>
      <c r="I287" s="12" t="s">
        <v>174</v>
      </c>
    </row>
    <row r="288" customFormat="false" ht="23.85" hidden="false" customHeight="false" outlineLevel="0" collapsed="false">
      <c r="A288" s="12" t="s">
        <v>2130</v>
      </c>
      <c r="B288" s="12" t="s">
        <v>1206</v>
      </c>
      <c r="C288" s="12" t="s">
        <v>1389</v>
      </c>
      <c r="D288" s="12" t="s">
        <v>1213</v>
      </c>
      <c r="E288" s="12" t="s">
        <v>1385</v>
      </c>
      <c r="F288" s="12" t="s">
        <v>2128</v>
      </c>
      <c r="G288" s="13" t="s">
        <v>2131</v>
      </c>
      <c r="H288" s="12" t="s">
        <v>1382</v>
      </c>
      <c r="I288" s="12" t="s">
        <v>174</v>
      </c>
    </row>
    <row r="289" customFormat="false" ht="23.85" hidden="false" customHeight="false" outlineLevel="0" collapsed="false">
      <c r="A289" s="12" t="s">
        <v>2132</v>
      </c>
      <c r="B289" s="12" t="s">
        <v>1206</v>
      </c>
      <c r="C289" s="12" t="s">
        <v>1461</v>
      </c>
      <c r="D289" s="12" t="s">
        <v>295</v>
      </c>
      <c r="E289" s="12" t="s">
        <v>1379</v>
      </c>
      <c r="F289" s="12" t="s">
        <v>2133</v>
      </c>
      <c r="G289" s="13" t="s">
        <v>2134</v>
      </c>
      <c r="H289" s="12" t="s">
        <v>1382</v>
      </c>
      <c r="I289" s="12" t="s">
        <v>174</v>
      </c>
    </row>
    <row r="290" customFormat="false" ht="23.85" hidden="false" customHeight="false" outlineLevel="0" collapsed="false">
      <c r="A290" s="12" t="s">
        <v>2135</v>
      </c>
      <c r="B290" s="12" t="s">
        <v>1206</v>
      </c>
      <c r="C290" s="12" t="s">
        <v>1389</v>
      </c>
      <c r="D290" s="12" t="s">
        <v>1212</v>
      </c>
      <c r="E290" s="12" t="s">
        <v>1385</v>
      </c>
      <c r="F290" s="12" t="s">
        <v>2133</v>
      </c>
      <c r="G290" s="13" t="s">
        <v>2136</v>
      </c>
      <c r="H290" s="12" t="s">
        <v>1382</v>
      </c>
      <c r="I290" s="12" t="s">
        <v>174</v>
      </c>
    </row>
    <row r="291" customFormat="false" ht="23.85" hidden="false" customHeight="false" outlineLevel="0" collapsed="false">
      <c r="A291" s="12" t="s">
        <v>2137</v>
      </c>
      <c r="B291" s="12" t="s">
        <v>1215</v>
      </c>
      <c r="C291" s="12" t="s">
        <v>1378</v>
      </c>
      <c r="D291" s="12" t="s">
        <v>1224</v>
      </c>
      <c r="E291" s="12" t="s">
        <v>1385</v>
      </c>
      <c r="F291" s="12" t="s">
        <v>2138</v>
      </c>
      <c r="G291" s="13" t="s">
        <v>2139</v>
      </c>
      <c r="H291" s="12" t="s">
        <v>1382</v>
      </c>
      <c r="I291" s="12" t="s">
        <v>174</v>
      </c>
    </row>
    <row r="292" customFormat="false" ht="23.85" hidden="false" customHeight="false" outlineLevel="0" collapsed="false">
      <c r="A292" s="12" t="s">
        <v>2140</v>
      </c>
      <c r="B292" s="12" t="s">
        <v>1215</v>
      </c>
      <c r="C292" s="12" t="s">
        <v>1389</v>
      </c>
      <c r="D292" s="12" t="s">
        <v>415</v>
      </c>
      <c r="E292" s="12" t="s">
        <v>1385</v>
      </c>
      <c r="F292" s="12" t="s">
        <v>1537</v>
      </c>
      <c r="G292" s="13" t="s">
        <v>2141</v>
      </c>
      <c r="H292" s="12" t="s">
        <v>1382</v>
      </c>
      <c r="I292" s="12" t="s">
        <v>174</v>
      </c>
    </row>
    <row r="293" customFormat="false" ht="23.85" hidden="false" customHeight="false" outlineLevel="0" collapsed="false">
      <c r="A293" s="12" t="s">
        <v>2142</v>
      </c>
      <c r="B293" s="12" t="s">
        <v>1228</v>
      </c>
      <c r="C293" s="12" t="s">
        <v>1389</v>
      </c>
      <c r="D293" s="12" t="s">
        <v>164</v>
      </c>
      <c r="E293" s="12" t="s">
        <v>1385</v>
      </c>
      <c r="F293" s="12" t="s">
        <v>1390</v>
      </c>
      <c r="G293" s="13" t="s">
        <v>2143</v>
      </c>
      <c r="H293" s="12" t="s">
        <v>1382</v>
      </c>
      <c r="I293" s="12" t="s">
        <v>174</v>
      </c>
    </row>
    <row r="294" customFormat="false" ht="35.05" hidden="false" customHeight="false" outlineLevel="0" collapsed="false">
      <c r="A294" s="12" t="s">
        <v>2144</v>
      </c>
      <c r="B294" s="12" t="s">
        <v>1228</v>
      </c>
      <c r="C294" s="12" t="s">
        <v>1384</v>
      </c>
      <c r="D294" s="12" t="s">
        <v>164</v>
      </c>
      <c r="E294" s="12" t="s">
        <v>1385</v>
      </c>
      <c r="F294" s="12" t="s">
        <v>1390</v>
      </c>
      <c r="G294" s="13" t="s">
        <v>2145</v>
      </c>
      <c r="H294" s="12" t="s">
        <v>1434</v>
      </c>
      <c r="I294" s="12" t="s">
        <v>174</v>
      </c>
    </row>
    <row r="295" customFormat="false" ht="23.85" hidden="false" customHeight="false" outlineLevel="0" collapsed="false">
      <c r="A295" s="12" t="s">
        <v>2146</v>
      </c>
      <c r="B295" s="12" t="s">
        <v>1228</v>
      </c>
      <c r="C295" s="12" t="s">
        <v>1389</v>
      </c>
      <c r="D295" s="12" t="s">
        <v>248</v>
      </c>
      <c r="E295" s="12" t="s">
        <v>1385</v>
      </c>
      <c r="F295" s="12" t="s">
        <v>1432</v>
      </c>
      <c r="G295" s="13" t="s">
        <v>2147</v>
      </c>
      <c r="H295" s="12" t="s">
        <v>1434</v>
      </c>
      <c r="I295" s="12" t="s">
        <v>174</v>
      </c>
    </row>
    <row r="296" customFormat="false" ht="23.85" hidden="false" customHeight="false" outlineLevel="0" collapsed="false">
      <c r="A296" s="12" t="s">
        <v>2148</v>
      </c>
      <c r="B296" s="12" t="s">
        <v>1231</v>
      </c>
      <c r="C296" s="12" t="s">
        <v>1378</v>
      </c>
      <c r="D296" s="12" t="s">
        <v>1242</v>
      </c>
      <c r="E296" s="12" t="s">
        <v>1385</v>
      </c>
      <c r="F296" s="12" t="s">
        <v>2149</v>
      </c>
      <c r="G296" s="13" t="s">
        <v>2150</v>
      </c>
      <c r="H296" s="12" t="s">
        <v>1382</v>
      </c>
      <c r="I296" s="12" t="s">
        <v>174</v>
      </c>
    </row>
    <row r="297" customFormat="false" ht="23.85" hidden="false" customHeight="false" outlineLevel="0" collapsed="false">
      <c r="A297" s="12" t="s">
        <v>2151</v>
      </c>
      <c r="B297" s="12" t="s">
        <v>1231</v>
      </c>
      <c r="C297" s="12" t="s">
        <v>1389</v>
      </c>
      <c r="D297" s="12" t="s">
        <v>1241</v>
      </c>
      <c r="E297" s="12" t="s">
        <v>1385</v>
      </c>
      <c r="F297" s="12" t="s">
        <v>2152</v>
      </c>
      <c r="G297" s="13" t="s">
        <v>2153</v>
      </c>
      <c r="H297" s="12" t="s">
        <v>1382</v>
      </c>
      <c r="I297" s="12" t="s">
        <v>174</v>
      </c>
    </row>
    <row r="298" customFormat="false" ht="23.85" hidden="false" customHeight="false" outlineLevel="0" collapsed="false">
      <c r="A298" s="12" t="s">
        <v>2154</v>
      </c>
      <c r="B298" s="12" t="s">
        <v>1359</v>
      </c>
      <c r="C298" s="12" t="s">
        <v>1378</v>
      </c>
      <c r="D298" s="12" t="s">
        <v>1366</v>
      </c>
      <c r="E298" s="12" t="s">
        <v>1385</v>
      </c>
      <c r="F298" s="12" t="s">
        <v>2155</v>
      </c>
      <c r="G298" s="13" t="s">
        <v>2156</v>
      </c>
      <c r="H298" s="12" t="s">
        <v>1382</v>
      </c>
      <c r="I298" s="12" t="s">
        <v>174</v>
      </c>
    </row>
    <row r="299" customFormat="false" ht="23.85" hidden="false" customHeight="false" outlineLevel="0" collapsed="false">
      <c r="A299" s="12" t="s">
        <v>2157</v>
      </c>
      <c r="B299" s="12" t="s">
        <v>1359</v>
      </c>
      <c r="C299" s="12" t="s">
        <v>1389</v>
      </c>
      <c r="D299" s="12" t="s">
        <v>1044</v>
      </c>
      <c r="E299" s="12" t="s">
        <v>1385</v>
      </c>
      <c r="F299" s="12" t="s">
        <v>1427</v>
      </c>
      <c r="G299" s="13" t="s">
        <v>2158</v>
      </c>
      <c r="H299" s="12" t="s">
        <v>1382</v>
      </c>
      <c r="I299" s="12" t="s">
        <v>174</v>
      </c>
    </row>
    <row r="300" customFormat="false" ht="35.05" hidden="false" customHeight="false" outlineLevel="0" collapsed="false">
      <c r="A300" s="12" t="s">
        <v>2159</v>
      </c>
      <c r="B300" s="12" t="s">
        <v>1257</v>
      </c>
      <c r="C300" s="12" t="s">
        <v>1378</v>
      </c>
      <c r="D300" s="12" t="s">
        <v>1265</v>
      </c>
      <c r="E300" s="12" t="s">
        <v>1379</v>
      </c>
      <c r="F300" s="12" t="s">
        <v>2160</v>
      </c>
      <c r="G300" s="13" t="s">
        <v>2161</v>
      </c>
      <c r="H300" s="12" t="s">
        <v>1382</v>
      </c>
      <c r="I300" s="12" t="s">
        <v>174</v>
      </c>
    </row>
    <row r="301" customFormat="false" ht="23.85" hidden="false" customHeight="false" outlineLevel="0" collapsed="false">
      <c r="A301" s="12" t="s">
        <v>2162</v>
      </c>
      <c r="B301" s="12" t="s">
        <v>1257</v>
      </c>
      <c r="C301" s="12" t="s">
        <v>1384</v>
      </c>
      <c r="D301" s="12" t="s">
        <v>1266</v>
      </c>
      <c r="E301" s="12" t="s">
        <v>1385</v>
      </c>
      <c r="F301" s="12" t="s">
        <v>2163</v>
      </c>
      <c r="G301" s="13" t="s">
        <v>2164</v>
      </c>
      <c r="H301" s="12" t="s">
        <v>1382</v>
      </c>
      <c r="I301" s="12" t="s">
        <v>174</v>
      </c>
    </row>
    <row r="302" customFormat="false" ht="23.85" hidden="false" customHeight="false" outlineLevel="0" collapsed="false">
      <c r="A302" s="12" t="s">
        <v>2165</v>
      </c>
      <c r="B302" s="12" t="s">
        <v>1257</v>
      </c>
      <c r="C302" s="12" t="s">
        <v>1389</v>
      </c>
      <c r="D302" s="12" t="s">
        <v>895</v>
      </c>
      <c r="E302" s="12" t="s">
        <v>1379</v>
      </c>
      <c r="F302" s="12" t="s">
        <v>2166</v>
      </c>
      <c r="G302" s="13" t="s">
        <v>2167</v>
      </c>
      <c r="H302" s="12" t="s">
        <v>1382</v>
      </c>
      <c r="I302" s="12" t="s">
        <v>174</v>
      </c>
    </row>
    <row r="303" customFormat="false" ht="23.85" hidden="false" customHeight="false" outlineLevel="0" collapsed="false">
      <c r="A303" s="12" t="s">
        <v>2168</v>
      </c>
      <c r="B303" s="12" t="s">
        <v>1268</v>
      </c>
      <c r="C303" s="12" t="s">
        <v>1378</v>
      </c>
      <c r="D303" s="12" t="s">
        <v>1265</v>
      </c>
      <c r="E303" s="12" t="s">
        <v>1379</v>
      </c>
      <c r="F303" s="12" t="s">
        <v>2160</v>
      </c>
      <c r="G303" s="13" t="s">
        <v>2169</v>
      </c>
      <c r="H303" s="12" t="s">
        <v>1382</v>
      </c>
      <c r="I303" s="12" t="s">
        <v>174</v>
      </c>
    </row>
    <row r="304" customFormat="false" ht="23.85" hidden="false" customHeight="false" outlineLevel="0" collapsed="false">
      <c r="A304" s="12" t="s">
        <v>2170</v>
      </c>
      <c r="B304" s="12" t="s">
        <v>1268</v>
      </c>
      <c r="C304" s="12" t="s">
        <v>1389</v>
      </c>
      <c r="D304" s="12" t="s">
        <v>164</v>
      </c>
      <c r="E304" s="12" t="s">
        <v>1385</v>
      </c>
      <c r="F304" s="12" t="s">
        <v>1390</v>
      </c>
      <c r="G304" s="13" t="s">
        <v>2171</v>
      </c>
      <c r="H304" s="12" t="s">
        <v>1382</v>
      </c>
      <c r="I304" s="12" t="s">
        <v>174</v>
      </c>
    </row>
    <row r="305" customFormat="false" ht="23.85" hidden="false" customHeight="false" outlineLevel="0" collapsed="false">
      <c r="A305" s="12" t="s">
        <v>2172</v>
      </c>
      <c r="B305" s="12" t="s">
        <v>1268</v>
      </c>
      <c r="C305" s="12" t="s">
        <v>1384</v>
      </c>
      <c r="D305" s="12" t="s">
        <v>653</v>
      </c>
      <c r="E305" s="12" t="s">
        <v>1385</v>
      </c>
      <c r="F305" s="12" t="s">
        <v>1822</v>
      </c>
      <c r="G305" s="13" t="s">
        <v>2173</v>
      </c>
      <c r="H305" s="12" t="s">
        <v>1434</v>
      </c>
      <c r="I305" s="12" t="s">
        <v>174</v>
      </c>
    </row>
    <row r="306" customFormat="false" ht="23.85" hidden="false" customHeight="false" outlineLevel="0" collapsed="false">
      <c r="A306" s="12" t="s">
        <v>2174</v>
      </c>
      <c r="B306" s="12" t="s">
        <v>1268</v>
      </c>
      <c r="C306" s="12" t="s">
        <v>1389</v>
      </c>
      <c r="D306" s="12" t="s">
        <v>248</v>
      </c>
      <c r="E306" s="12" t="s">
        <v>1385</v>
      </c>
      <c r="F306" s="12" t="s">
        <v>1432</v>
      </c>
      <c r="G306" s="13" t="s">
        <v>2175</v>
      </c>
      <c r="H306" s="12" t="s">
        <v>1434</v>
      </c>
      <c r="I306" s="12" t="s">
        <v>174</v>
      </c>
    </row>
    <row r="307" customFormat="false" ht="15" hidden="false" customHeight="false" outlineLevel="0" collapsed="false">
      <c r="A307" s="12" t="s">
        <v>2176</v>
      </c>
      <c r="B307" s="12" t="s">
        <v>1274</v>
      </c>
      <c r="C307" s="12" t="s">
        <v>1389</v>
      </c>
      <c r="D307" s="12" t="s">
        <v>541</v>
      </c>
      <c r="E307" s="12" t="s">
        <v>1379</v>
      </c>
      <c r="F307" s="12" t="s">
        <v>1634</v>
      </c>
      <c r="G307" s="13" t="s">
        <v>2177</v>
      </c>
      <c r="H307" s="12" t="s">
        <v>1447</v>
      </c>
      <c r="I307" s="12" t="s">
        <v>174</v>
      </c>
    </row>
    <row r="308" customFormat="false" ht="23.85" hidden="false" customHeight="false" outlineLevel="0" collapsed="false">
      <c r="A308" s="12" t="s">
        <v>2178</v>
      </c>
      <c r="B308" s="12" t="s">
        <v>1284</v>
      </c>
      <c r="C308" s="12" t="s">
        <v>1389</v>
      </c>
      <c r="D308" s="12" t="s">
        <v>1212</v>
      </c>
      <c r="E308" s="12" t="s">
        <v>1385</v>
      </c>
      <c r="F308" s="12" t="s">
        <v>2179</v>
      </c>
      <c r="G308" s="13" t="s">
        <v>2180</v>
      </c>
      <c r="H308" s="12" t="s">
        <v>1382</v>
      </c>
      <c r="I308" s="12" t="s">
        <v>174</v>
      </c>
    </row>
    <row r="309" customFormat="false" ht="23.85" hidden="false" customHeight="false" outlineLevel="0" collapsed="false">
      <c r="A309" s="12" t="s">
        <v>2181</v>
      </c>
      <c r="B309" s="12" t="s">
        <v>1290</v>
      </c>
      <c r="C309" s="12" t="s">
        <v>1384</v>
      </c>
      <c r="D309" s="12" t="s">
        <v>1297</v>
      </c>
      <c r="E309" s="12" t="s">
        <v>1385</v>
      </c>
      <c r="F309" s="12" t="s">
        <v>1427</v>
      </c>
      <c r="G309" s="13" t="s">
        <v>2182</v>
      </c>
      <c r="H309" s="12" t="s">
        <v>1382</v>
      </c>
      <c r="I309" s="12" t="s">
        <v>174</v>
      </c>
    </row>
    <row r="310" customFormat="false" ht="23.85" hidden="false" customHeight="false" outlineLevel="0" collapsed="false">
      <c r="A310" s="12" t="s">
        <v>2183</v>
      </c>
      <c r="B310" s="12" t="s">
        <v>1290</v>
      </c>
      <c r="C310" s="12" t="s">
        <v>1389</v>
      </c>
      <c r="D310" s="12" t="s">
        <v>164</v>
      </c>
      <c r="E310" s="12" t="s">
        <v>1385</v>
      </c>
      <c r="F310" s="12" t="s">
        <v>1390</v>
      </c>
      <c r="G310" s="13" t="s">
        <v>2184</v>
      </c>
      <c r="H310" s="12" t="s">
        <v>1382</v>
      </c>
      <c r="I310" s="12" t="s">
        <v>174</v>
      </c>
    </row>
    <row r="311" customFormat="false" ht="23.85" hidden="false" customHeight="false" outlineLevel="0" collapsed="false">
      <c r="A311" s="12" t="s">
        <v>2185</v>
      </c>
      <c r="B311" s="12" t="s">
        <v>1299</v>
      </c>
      <c r="C311" s="12" t="s">
        <v>1384</v>
      </c>
      <c r="D311" s="12" t="s">
        <v>1303</v>
      </c>
      <c r="E311" s="12" t="s">
        <v>1385</v>
      </c>
      <c r="F311" s="12" t="s">
        <v>1427</v>
      </c>
      <c r="G311" s="13" t="s">
        <v>2186</v>
      </c>
      <c r="H311" s="12" t="s">
        <v>1382</v>
      </c>
      <c r="I311" s="12" t="s">
        <v>174</v>
      </c>
    </row>
    <row r="312" customFormat="false" ht="23.85" hidden="false" customHeight="false" outlineLevel="0" collapsed="false">
      <c r="A312" s="12" t="s">
        <v>2187</v>
      </c>
      <c r="B312" s="12" t="s">
        <v>1299</v>
      </c>
      <c r="C312" s="12" t="s">
        <v>1389</v>
      </c>
      <c r="D312" s="12" t="s">
        <v>164</v>
      </c>
      <c r="E312" s="12" t="s">
        <v>1385</v>
      </c>
      <c r="F312" s="12" t="s">
        <v>1390</v>
      </c>
      <c r="G312" s="13" t="s">
        <v>2188</v>
      </c>
      <c r="H312" s="12" t="s">
        <v>1382</v>
      </c>
      <c r="I312" s="12" t="s">
        <v>174</v>
      </c>
    </row>
    <row r="313" customFormat="false" ht="23.85" hidden="false" customHeight="false" outlineLevel="0" collapsed="false">
      <c r="A313" s="12" t="s">
        <v>2189</v>
      </c>
      <c r="B313" s="12" t="s">
        <v>1299</v>
      </c>
      <c r="C313" s="12" t="s">
        <v>1389</v>
      </c>
      <c r="D313" s="12" t="s">
        <v>248</v>
      </c>
      <c r="E313" s="12" t="s">
        <v>1385</v>
      </c>
      <c r="F313" s="12" t="s">
        <v>1432</v>
      </c>
      <c r="G313" s="13" t="s">
        <v>2190</v>
      </c>
      <c r="H313" s="12" t="s">
        <v>1434</v>
      </c>
      <c r="I313" s="12" t="s">
        <v>174</v>
      </c>
    </row>
    <row r="314" customFormat="false" ht="23.85" hidden="false" customHeight="false" outlineLevel="0" collapsed="false">
      <c r="A314" s="12" t="s">
        <v>2191</v>
      </c>
      <c r="B314" s="12" t="s">
        <v>1248</v>
      </c>
      <c r="C314" s="12" t="s">
        <v>1384</v>
      </c>
      <c r="D314" s="12" t="s">
        <v>1253</v>
      </c>
      <c r="E314" s="12" t="s">
        <v>1385</v>
      </c>
      <c r="F314" s="12" t="s">
        <v>2192</v>
      </c>
      <c r="G314" s="13" t="s">
        <v>2193</v>
      </c>
      <c r="H314" s="12" t="s">
        <v>1382</v>
      </c>
      <c r="I314" s="12" t="s">
        <v>174</v>
      </c>
    </row>
    <row r="315" customFormat="false" ht="23.85" hidden="false" customHeight="false" outlineLevel="0" collapsed="false">
      <c r="A315" s="12" t="s">
        <v>2194</v>
      </c>
      <c r="B315" s="12" t="s">
        <v>1248</v>
      </c>
      <c r="C315" s="12" t="s">
        <v>1389</v>
      </c>
      <c r="D315" s="12" t="s">
        <v>1252</v>
      </c>
      <c r="E315" s="12" t="s">
        <v>1385</v>
      </c>
      <c r="F315" s="12" t="s">
        <v>2195</v>
      </c>
      <c r="G315" s="13" t="s">
        <v>2196</v>
      </c>
      <c r="H315" s="12" t="s">
        <v>1382</v>
      </c>
      <c r="I315" s="12" t="s">
        <v>174</v>
      </c>
    </row>
  </sheetData>
  <autoFilter ref="A1:I3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6"/>
    <col collapsed="false" customWidth="true" hidden="false" outlineLevel="0" max="4" min="4" style="0" width="50"/>
    <col collapsed="false" customWidth="true" hidden="false" outlineLevel="0" max="5" min="5" style="0" width="11"/>
    <col collapsed="false" customWidth="true" hidden="false" outlineLevel="0" max="6" min="6" style="0" width="50"/>
    <col collapsed="false" customWidth="true" hidden="false" outlineLevel="0" max="8" min="7" style="0" width="13"/>
  </cols>
  <sheetData>
    <row r="1" customFormat="false" ht="15" hidden="false" customHeight="false" outlineLevel="0" collapsed="false">
      <c r="A1" s="11" t="s">
        <v>2197</v>
      </c>
      <c r="B1" s="11" t="s">
        <v>86</v>
      </c>
      <c r="C1" s="11" t="s">
        <v>2198</v>
      </c>
      <c r="D1" s="11" t="s">
        <v>88</v>
      </c>
      <c r="E1" s="11" t="s">
        <v>1373</v>
      </c>
      <c r="F1" s="11" t="s">
        <v>1374</v>
      </c>
      <c r="G1" s="11" t="s">
        <v>1375</v>
      </c>
      <c r="H1" s="11" t="s">
        <v>1376</v>
      </c>
    </row>
    <row r="2" customFormat="false" ht="35.05" hidden="false" customHeight="false" outlineLevel="0" collapsed="false">
      <c r="A2" s="12" t="s">
        <v>2199</v>
      </c>
      <c r="B2" s="12" t="s">
        <v>143</v>
      </c>
      <c r="C2" s="12" t="s">
        <v>2200</v>
      </c>
      <c r="D2" s="13" t="s">
        <v>2201</v>
      </c>
      <c r="E2" s="12" t="s">
        <v>1386</v>
      </c>
      <c r="F2" s="13" t="s">
        <v>2202</v>
      </c>
      <c r="G2" s="12" t="s">
        <v>1382</v>
      </c>
      <c r="H2" s="12" t="s">
        <v>174</v>
      </c>
    </row>
    <row r="3" customFormat="false" ht="23.85" hidden="false" customHeight="false" outlineLevel="0" collapsed="false">
      <c r="A3" s="12" t="s">
        <v>2203</v>
      </c>
      <c r="B3" s="12" t="s">
        <v>143</v>
      </c>
      <c r="C3" s="12" t="s">
        <v>2204</v>
      </c>
      <c r="D3" s="13" t="s">
        <v>2205</v>
      </c>
      <c r="E3" s="12" t="s">
        <v>1386</v>
      </c>
      <c r="F3" s="13" t="s">
        <v>2206</v>
      </c>
      <c r="G3" s="12" t="s">
        <v>1382</v>
      </c>
      <c r="H3" s="12" t="s">
        <v>174</v>
      </c>
    </row>
    <row r="4" customFormat="false" ht="23.85" hidden="false" customHeight="false" outlineLevel="0" collapsed="false">
      <c r="A4" s="12" t="s">
        <v>2207</v>
      </c>
      <c r="B4" s="12" t="s">
        <v>209</v>
      </c>
      <c r="C4" s="12" t="s">
        <v>2200</v>
      </c>
      <c r="D4" s="13" t="s">
        <v>2208</v>
      </c>
      <c r="E4" s="12" t="s">
        <v>2209</v>
      </c>
      <c r="F4" s="13" t="s">
        <v>2210</v>
      </c>
      <c r="G4" s="12" t="s">
        <v>1382</v>
      </c>
      <c r="H4" s="12" t="s">
        <v>174</v>
      </c>
    </row>
    <row r="5" customFormat="false" ht="35.05" hidden="false" customHeight="false" outlineLevel="0" collapsed="false">
      <c r="A5" s="12" t="s">
        <v>2211</v>
      </c>
      <c r="B5" s="12" t="s">
        <v>209</v>
      </c>
      <c r="C5" s="12" t="s">
        <v>2212</v>
      </c>
      <c r="D5" s="13" t="s">
        <v>2213</v>
      </c>
      <c r="E5" s="12" t="s">
        <v>2209</v>
      </c>
      <c r="F5" s="13" t="s">
        <v>2214</v>
      </c>
      <c r="G5" s="12" t="s">
        <v>1382</v>
      </c>
      <c r="H5" s="12" t="s">
        <v>174</v>
      </c>
    </row>
    <row r="6" customFormat="false" ht="35.05" hidden="false" customHeight="false" outlineLevel="0" collapsed="false">
      <c r="A6" s="12" t="s">
        <v>2215</v>
      </c>
      <c r="B6" s="12" t="s">
        <v>209</v>
      </c>
      <c r="C6" s="12" t="s">
        <v>2216</v>
      </c>
      <c r="D6" s="13" t="s">
        <v>2217</v>
      </c>
      <c r="E6" s="12" t="s">
        <v>2209</v>
      </c>
      <c r="F6" s="13" t="s">
        <v>2218</v>
      </c>
      <c r="G6" s="12" t="s">
        <v>1382</v>
      </c>
      <c r="H6" s="12" t="s">
        <v>174</v>
      </c>
    </row>
    <row r="7" customFormat="false" ht="46.25" hidden="false" customHeight="false" outlineLevel="0" collapsed="false">
      <c r="A7" s="12" t="s">
        <v>2219</v>
      </c>
      <c r="B7" s="12" t="s">
        <v>353</v>
      </c>
      <c r="C7" s="12" t="s">
        <v>362</v>
      </c>
      <c r="D7" s="13" t="s">
        <v>2220</v>
      </c>
      <c r="E7" s="12" t="s">
        <v>1502</v>
      </c>
      <c r="F7" s="13" t="s">
        <v>2221</v>
      </c>
      <c r="G7" s="12" t="s">
        <v>1382</v>
      </c>
      <c r="H7" s="12" t="s">
        <v>174</v>
      </c>
    </row>
    <row r="8" customFormat="false" ht="35.05" hidden="false" customHeight="false" outlineLevel="0" collapsed="false">
      <c r="A8" s="12" t="s">
        <v>2222</v>
      </c>
      <c r="B8" s="12" t="s">
        <v>365</v>
      </c>
      <c r="C8" s="12" t="s">
        <v>362</v>
      </c>
      <c r="D8" s="13" t="s">
        <v>2223</v>
      </c>
      <c r="E8" s="12" t="s">
        <v>1502</v>
      </c>
      <c r="F8" s="13" t="s">
        <v>2224</v>
      </c>
      <c r="G8" s="12" t="s">
        <v>1382</v>
      </c>
      <c r="H8" s="12" t="s">
        <v>174</v>
      </c>
    </row>
    <row r="9" customFormat="false" ht="35.05" hidden="false" customHeight="false" outlineLevel="0" collapsed="false">
      <c r="A9" s="12" t="s">
        <v>2225</v>
      </c>
      <c r="B9" s="12" t="s">
        <v>365</v>
      </c>
      <c r="C9" s="12" t="s">
        <v>2216</v>
      </c>
      <c r="D9" s="13" t="s">
        <v>2226</v>
      </c>
      <c r="E9" s="12" t="s">
        <v>1502</v>
      </c>
      <c r="F9" s="13" t="s">
        <v>2227</v>
      </c>
      <c r="G9" s="12" t="s">
        <v>1382</v>
      </c>
      <c r="H9" s="12" t="s">
        <v>174</v>
      </c>
    </row>
    <row r="10" customFormat="false" ht="35.05" hidden="false" customHeight="false" outlineLevel="0" collapsed="false">
      <c r="A10" s="12" t="s">
        <v>2228</v>
      </c>
      <c r="B10" s="12" t="s">
        <v>365</v>
      </c>
      <c r="C10" s="12" t="s">
        <v>402</v>
      </c>
      <c r="D10" s="13" t="s">
        <v>2229</v>
      </c>
      <c r="E10" s="12" t="s">
        <v>1502</v>
      </c>
      <c r="F10" s="13" t="s">
        <v>2230</v>
      </c>
      <c r="G10" s="12" t="s">
        <v>1382</v>
      </c>
      <c r="H10" s="12" t="s">
        <v>174</v>
      </c>
    </row>
    <row r="11" customFormat="false" ht="35.05" hidden="false" customHeight="false" outlineLevel="0" collapsed="false">
      <c r="A11" s="12" t="s">
        <v>2231</v>
      </c>
      <c r="B11" s="12" t="s">
        <v>377</v>
      </c>
      <c r="C11" s="12" t="s">
        <v>759</v>
      </c>
      <c r="D11" s="13" t="s">
        <v>2232</v>
      </c>
      <c r="E11" s="12" t="s">
        <v>1514</v>
      </c>
      <c r="F11" s="13" t="s">
        <v>2233</v>
      </c>
      <c r="G11" s="12" t="s">
        <v>1382</v>
      </c>
      <c r="H11" s="12" t="s">
        <v>174</v>
      </c>
    </row>
    <row r="12" customFormat="false" ht="23.85" hidden="false" customHeight="false" outlineLevel="0" collapsed="false">
      <c r="A12" s="12" t="s">
        <v>2234</v>
      </c>
      <c r="B12" s="12" t="s">
        <v>377</v>
      </c>
      <c r="C12" s="12" t="s">
        <v>1245</v>
      </c>
      <c r="D12" s="13" t="s">
        <v>2235</v>
      </c>
      <c r="E12" s="12" t="s">
        <v>1514</v>
      </c>
      <c r="F12" s="13" t="s">
        <v>2236</v>
      </c>
      <c r="G12" s="12" t="s">
        <v>1382</v>
      </c>
      <c r="H12" s="12" t="s">
        <v>174</v>
      </c>
    </row>
    <row r="13" customFormat="false" ht="35.05" hidden="false" customHeight="false" outlineLevel="0" collapsed="false">
      <c r="A13" s="12" t="s">
        <v>2237</v>
      </c>
      <c r="B13" s="12" t="s">
        <v>612</v>
      </c>
      <c r="C13" s="12" t="s">
        <v>663</v>
      </c>
      <c r="D13" s="13" t="s">
        <v>2238</v>
      </c>
      <c r="E13" s="12" t="s">
        <v>1692</v>
      </c>
      <c r="F13" s="13" t="s">
        <v>2239</v>
      </c>
      <c r="G13" s="12" t="s">
        <v>1382</v>
      </c>
      <c r="H13" s="12" t="s">
        <v>174</v>
      </c>
    </row>
    <row r="14" customFormat="false" ht="46.25" hidden="false" customHeight="false" outlineLevel="0" collapsed="false">
      <c r="A14" s="12" t="s">
        <v>2240</v>
      </c>
      <c r="B14" s="12" t="s">
        <v>612</v>
      </c>
      <c r="C14" s="12" t="s">
        <v>759</v>
      </c>
      <c r="D14" s="13" t="s">
        <v>2241</v>
      </c>
      <c r="E14" s="12" t="s">
        <v>1692</v>
      </c>
      <c r="F14" s="13" t="s">
        <v>2242</v>
      </c>
      <c r="G14" s="12" t="s">
        <v>1382</v>
      </c>
      <c r="H14" s="12" t="s">
        <v>174</v>
      </c>
    </row>
    <row r="15" customFormat="false" ht="35.05" hidden="false" customHeight="false" outlineLevel="0" collapsed="false">
      <c r="A15" s="12" t="s">
        <v>2243</v>
      </c>
      <c r="B15" s="12" t="s">
        <v>655</v>
      </c>
      <c r="C15" s="12" t="s">
        <v>663</v>
      </c>
      <c r="D15" s="13" t="s">
        <v>2244</v>
      </c>
      <c r="E15" s="12" t="s">
        <v>1718</v>
      </c>
      <c r="F15" s="13" t="s">
        <v>2245</v>
      </c>
      <c r="G15" s="12" t="s">
        <v>1382</v>
      </c>
      <c r="H15" s="12" t="s">
        <v>174</v>
      </c>
    </row>
    <row r="16" customFormat="false" ht="35.05" hidden="false" customHeight="false" outlineLevel="0" collapsed="false">
      <c r="A16" s="12" t="s">
        <v>2246</v>
      </c>
      <c r="B16" s="12" t="s">
        <v>665</v>
      </c>
      <c r="C16" s="12" t="s">
        <v>362</v>
      </c>
      <c r="D16" s="13" t="s">
        <v>2247</v>
      </c>
      <c r="E16" s="12" t="s">
        <v>2248</v>
      </c>
      <c r="F16" s="13" t="s">
        <v>2249</v>
      </c>
      <c r="G16" s="12" t="s">
        <v>1382</v>
      </c>
      <c r="H16" s="12" t="s">
        <v>174</v>
      </c>
    </row>
    <row r="17" customFormat="false" ht="35.05" hidden="false" customHeight="false" outlineLevel="0" collapsed="false">
      <c r="A17" s="12" t="s">
        <v>2250</v>
      </c>
      <c r="B17" s="12" t="s">
        <v>665</v>
      </c>
      <c r="C17" s="12" t="s">
        <v>663</v>
      </c>
      <c r="D17" s="13" t="s">
        <v>2251</v>
      </c>
      <c r="E17" s="12" t="s">
        <v>2252</v>
      </c>
      <c r="F17" s="13" t="s">
        <v>2253</v>
      </c>
      <c r="G17" s="12" t="s">
        <v>1382</v>
      </c>
      <c r="H17" s="12" t="s">
        <v>174</v>
      </c>
    </row>
    <row r="18" customFormat="false" ht="35.05" hidden="false" customHeight="false" outlineLevel="0" collapsed="false">
      <c r="A18" s="12" t="s">
        <v>2254</v>
      </c>
      <c r="B18" s="12" t="s">
        <v>674</v>
      </c>
      <c r="C18" s="12" t="s">
        <v>663</v>
      </c>
      <c r="D18" s="13" t="s">
        <v>2255</v>
      </c>
      <c r="E18" s="12" t="s">
        <v>1735</v>
      </c>
      <c r="F18" s="13" t="s">
        <v>2256</v>
      </c>
      <c r="G18" s="12" t="s">
        <v>1382</v>
      </c>
      <c r="H18" s="12" t="s">
        <v>174</v>
      </c>
    </row>
    <row r="19" customFormat="false" ht="35.05" hidden="false" customHeight="false" outlineLevel="0" collapsed="false">
      <c r="A19" s="12" t="s">
        <v>2257</v>
      </c>
      <c r="B19" s="12" t="s">
        <v>748</v>
      </c>
      <c r="C19" s="12" t="s">
        <v>759</v>
      </c>
      <c r="D19" s="13" t="s">
        <v>2258</v>
      </c>
      <c r="E19" s="12" t="s">
        <v>1781</v>
      </c>
      <c r="F19" s="13" t="s">
        <v>2259</v>
      </c>
      <c r="G19" s="12" t="s">
        <v>1382</v>
      </c>
      <c r="H19" s="12" t="s">
        <v>174</v>
      </c>
    </row>
    <row r="20" customFormat="false" ht="35.05" hidden="false" customHeight="false" outlineLevel="0" collapsed="false">
      <c r="A20" s="12" t="s">
        <v>2260</v>
      </c>
      <c r="B20" s="12" t="s">
        <v>981</v>
      </c>
      <c r="C20" s="12" t="s">
        <v>759</v>
      </c>
      <c r="D20" s="13" t="s">
        <v>2261</v>
      </c>
      <c r="E20" s="12" t="s">
        <v>1977</v>
      </c>
      <c r="F20" s="13" t="s">
        <v>2262</v>
      </c>
      <c r="G20" s="12" t="s">
        <v>1382</v>
      </c>
      <c r="H20" s="12" t="s">
        <v>174</v>
      </c>
    </row>
    <row r="21" customFormat="false" ht="23.85" hidden="false" customHeight="false" outlineLevel="0" collapsed="false">
      <c r="A21" s="12" t="s">
        <v>2263</v>
      </c>
      <c r="B21" s="12" t="s">
        <v>981</v>
      </c>
      <c r="C21" s="12" t="s">
        <v>2216</v>
      </c>
      <c r="D21" s="13" t="s">
        <v>2264</v>
      </c>
      <c r="E21" s="12" t="s">
        <v>2265</v>
      </c>
      <c r="F21" s="13" t="s">
        <v>2266</v>
      </c>
      <c r="G21" s="12" t="s">
        <v>1382</v>
      </c>
      <c r="H21" s="12" t="s">
        <v>174</v>
      </c>
    </row>
    <row r="22" customFormat="false" ht="35.05" hidden="false" customHeight="false" outlineLevel="0" collapsed="false">
      <c r="A22" s="12" t="s">
        <v>2267</v>
      </c>
      <c r="B22" s="12" t="s">
        <v>993</v>
      </c>
      <c r="C22" s="12" t="s">
        <v>1245</v>
      </c>
      <c r="D22" s="13" t="s">
        <v>2268</v>
      </c>
      <c r="E22" s="12" t="s">
        <v>2269</v>
      </c>
      <c r="F22" s="13" t="s">
        <v>2270</v>
      </c>
      <c r="G22" s="12" t="s">
        <v>1382</v>
      </c>
      <c r="H22" s="12" t="s">
        <v>174</v>
      </c>
    </row>
    <row r="23" customFormat="false" ht="35.05" hidden="false" customHeight="false" outlineLevel="0" collapsed="false">
      <c r="A23" s="12" t="s">
        <v>2271</v>
      </c>
      <c r="B23" s="12" t="s">
        <v>993</v>
      </c>
      <c r="C23" s="12" t="s">
        <v>2272</v>
      </c>
      <c r="D23" s="13" t="s">
        <v>2273</v>
      </c>
      <c r="E23" s="12" t="s">
        <v>2269</v>
      </c>
      <c r="F23" s="13" t="s">
        <v>2274</v>
      </c>
      <c r="G23" s="12" t="s">
        <v>1382</v>
      </c>
      <c r="H23" s="12" t="s">
        <v>174</v>
      </c>
    </row>
    <row r="24" customFormat="false" ht="35.05" hidden="false" customHeight="false" outlineLevel="0" collapsed="false">
      <c r="A24" s="12" t="s">
        <v>2275</v>
      </c>
      <c r="B24" s="12" t="s">
        <v>1231</v>
      </c>
      <c r="C24" s="12" t="s">
        <v>1245</v>
      </c>
      <c r="D24" s="13" t="s">
        <v>2276</v>
      </c>
      <c r="E24" s="12" t="s">
        <v>2149</v>
      </c>
      <c r="F24" s="13" t="s">
        <v>2277</v>
      </c>
      <c r="G24" s="12" t="s">
        <v>1382</v>
      </c>
      <c r="H24" s="12" t="s">
        <v>174</v>
      </c>
    </row>
    <row r="25" customFormat="false" ht="35.05" hidden="false" customHeight="false" outlineLevel="0" collapsed="false">
      <c r="A25" s="12" t="s">
        <v>2278</v>
      </c>
      <c r="B25" s="12" t="s">
        <v>387</v>
      </c>
      <c r="C25" s="12" t="s">
        <v>402</v>
      </c>
      <c r="D25" s="13" t="s">
        <v>2279</v>
      </c>
      <c r="E25" s="12" t="s">
        <v>2280</v>
      </c>
      <c r="F25" s="13" t="s">
        <v>2281</v>
      </c>
      <c r="G25" s="12" t="s">
        <v>1382</v>
      </c>
      <c r="H25" s="12" t="s">
        <v>174</v>
      </c>
    </row>
    <row r="26" customFormat="false" ht="35.05" hidden="false" customHeight="false" outlineLevel="0" collapsed="false">
      <c r="A26" s="12" t="s">
        <v>2282</v>
      </c>
      <c r="B26" s="12" t="s">
        <v>387</v>
      </c>
      <c r="C26" s="12" t="s">
        <v>402</v>
      </c>
      <c r="D26" s="13" t="s">
        <v>2283</v>
      </c>
      <c r="E26" s="12" t="s">
        <v>2284</v>
      </c>
      <c r="F26" s="13" t="s">
        <v>2285</v>
      </c>
      <c r="G26" s="12" t="s">
        <v>1382</v>
      </c>
      <c r="H26" s="12" t="s">
        <v>174</v>
      </c>
    </row>
    <row r="27" customFormat="false" ht="35.05" hidden="false" customHeight="false" outlineLevel="0" collapsed="false">
      <c r="A27" s="12" t="s">
        <v>2286</v>
      </c>
      <c r="B27" s="12" t="s">
        <v>406</v>
      </c>
      <c r="C27" s="12" t="s">
        <v>2204</v>
      </c>
      <c r="D27" s="13" t="s">
        <v>2287</v>
      </c>
      <c r="E27" s="12" t="s">
        <v>1532</v>
      </c>
      <c r="F27" s="13" t="s">
        <v>2288</v>
      </c>
      <c r="G27" s="12" t="s">
        <v>1382</v>
      </c>
      <c r="H27" s="12" t="s">
        <v>174</v>
      </c>
    </row>
    <row r="28" customFormat="false" ht="23.85" hidden="false" customHeight="false" outlineLevel="0" collapsed="false">
      <c r="A28" s="12" t="s">
        <v>2289</v>
      </c>
      <c r="B28" s="12" t="s">
        <v>406</v>
      </c>
      <c r="C28" s="12" t="s">
        <v>362</v>
      </c>
      <c r="D28" s="13" t="s">
        <v>2290</v>
      </c>
      <c r="E28" s="12" t="s">
        <v>1532</v>
      </c>
      <c r="F28" s="13" t="s">
        <v>2291</v>
      </c>
      <c r="G28" s="12" t="s">
        <v>1382</v>
      </c>
      <c r="H28" s="12" t="s">
        <v>174</v>
      </c>
    </row>
    <row r="29" customFormat="false" ht="35.05" hidden="false" customHeight="false" outlineLevel="0" collapsed="false">
      <c r="A29" s="12" t="s">
        <v>2292</v>
      </c>
      <c r="B29" s="12" t="s">
        <v>455</v>
      </c>
      <c r="C29" s="12" t="s">
        <v>402</v>
      </c>
      <c r="D29" s="13" t="s">
        <v>2293</v>
      </c>
      <c r="E29" s="12" t="s">
        <v>1573</v>
      </c>
      <c r="F29" s="13" t="s">
        <v>2294</v>
      </c>
      <c r="G29" s="12" t="s">
        <v>1382</v>
      </c>
      <c r="H29" s="12" t="s">
        <v>174</v>
      </c>
    </row>
    <row r="30" customFormat="false" ht="35.05" hidden="false" customHeight="false" outlineLevel="0" collapsed="false">
      <c r="A30" s="12" t="s">
        <v>2295</v>
      </c>
      <c r="B30" s="12" t="s">
        <v>455</v>
      </c>
      <c r="C30" s="12" t="s">
        <v>402</v>
      </c>
      <c r="D30" s="13" t="s">
        <v>2296</v>
      </c>
      <c r="E30" s="12" t="s">
        <v>1578</v>
      </c>
      <c r="F30" s="13" t="s">
        <v>2297</v>
      </c>
      <c r="G30" s="12" t="s">
        <v>1382</v>
      </c>
      <c r="H30" s="12" t="s">
        <v>174</v>
      </c>
    </row>
    <row r="31" customFormat="false" ht="46.25" hidden="false" customHeight="false" outlineLevel="0" collapsed="false">
      <c r="A31" s="12" t="s">
        <v>2298</v>
      </c>
      <c r="B31" s="12" t="s">
        <v>466</v>
      </c>
      <c r="C31" s="12" t="s">
        <v>759</v>
      </c>
      <c r="D31" s="13" t="s">
        <v>2299</v>
      </c>
      <c r="E31" s="12" t="s">
        <v>2300</v>
      </c>
      <c r="F31" s="13" t="s">
        <v>2301</v>
      </c>
      <c r="G31" s="12" t="s">
        <v>1382</v>
      </c>
      <c r="H31" s="12" t="s">
        <v>174</v>
      </c>
    </row>
    <row r="32" customFormat="false" ht="35.05" hidden="false" customHeight="false" outlineLevel="0" collapsed="false">
      <c r="A32" s="12" t="s">
        <v>2302</v>
      </c>
      <c r="B32" s="12" t="s">
        <v>466</v>
      </c>
      <c r="C32" s="12" t="s">
        <v>402</v>
      </c>
      <c r="D32" s="13" t="s">
        <v>2303</v>
      </c>
      <c r="E32" s="12" t="s">
        <v>2304</v>
      </c>
      <c r="F32" s="13" t="s">
        <v>2305</v>
      </c>
      <c r="G32" s="12" t="s">
        <v>1382</v>
      </c>
      <c r="H32" s="12" t="s">
        <v>174</v>
      </c>
    </row>
    <row r="33" customFormat="false" ht="46.25" hidden="false" customHeight="false" outlineLevel="0" collapsed="false">
      <c r="A33" s="12" t="s">
        <v>2306</v>
      </c>
      <c r="B33" s="12" t="s">
        <v>491</v>
      </c>
      <c r="C33" s="12" t="s">
        <v>1245</v>
      </c>
      <c r="D33" s="13" t="s">
        <v>2307</v>
      </c>
      <c r="E33" s="12" t="s">
        <v>2308</v>
      </c>
      <c r="F33" s="13" t="s">
        <v>2309</v>
      </c>
      <c r="G33" s="12" t="s">
        <v>1382</v>
      </c>
      <c r="H33" s="12" t="s">
        <v>174</v>
      </c>
    </row>
    <row r="34" customFormat="false" ht="35.05" hidden="false" customHeight="false" outlineLevel="0" collapsed="false">
      <c r="A34" s="12" t="s">
        <v>2310</v>
      </c>
      <c r="B34" s="12" t="s">
        <v>491</v>
      </c>
      <c r="C34" s="12" t="s">
        <v>663</v>
      </c>
      <c r="D34" s="13" t="s">
        <v>2311</v>
      </c>
      <c r="E34" s="12" t="s">
        <v>1595</v>
      </c>
      <c r="F34" s="13" t="s">
        <v>2312</v>
      </c>
      <c r="G34" s="12" t="s">
        <v>1382</v>
      </c>
      <c r="H34" s="12" t="s">
        <v>174</v>
      </c>
    </row>
    <row r="35" customFormat="false" ht="35.05" hidden="false" customHeight="false" outlineLevel="0" collapsed="false">
      <c r="A35" s="12" t="s">
        <v>2313</v>
      </c>
      <c r="B35" s="12" t="s">
        <v>491</v>
      </c>
      <c r="C35" s="12" t="s">
        <v>2272</v>
      </c>
      <c r="D35" s="13" t="s">
        <v>2314</v>
      </c>
      <c r="E35" s="12" t="s">
        <v>1595</v>
      </c>
      <c r="F35" s="13" t="s">
        <v>2315</v>
      </c>
      <c r="G35" s="12" t="s">
        <v>1382</v>
      </c>
      <c r="H35" s="12" t="s">
        <v>174</v>
      </c>
    </row>
    <row r="36" customFormat="false" ht="35.05" hidden="false" customHeight="false" outlineLevel="0" collapsed="false">
      <c r="A36" s="12" t="s">
        <v>2316</v>
      </c>
      <c r="B36" s="12" t="s">
        <v>516</v>
      </c>
      <c r="C36" s="12" t="s">
        <v>759</v>
      </c>
      <c r="D36" s="13" t="s">
        <v>2317</v>
      </c>
      <c r="E36" s="12" t="s">
        <v>2318</v>
      </c>
      <c r="F36" s="13" t="s">
        <v>2319</v>
      </c>
      <c r="G36" s="12" t="s">
        <v>1382</v>
      </c>
      <c r="H36" s="12" t="s">
        <v>174</v>
      </c>
    </row>
    <row r="37" customFormat="false" ht="35.05" hidden="false" customHeight="false" outlineLevel="0" collapsed="false">
      <c r="A37" s="12" t="s">
        <v>2320</v>
      </c>
      <c r="B37" s="12" t="s">
        <v>516</v>
      </c>
      <c r="C37" s="12" t="s">
        <v>2204</v>
      </c>
      <c r="D37" s="13" t="s">
        <v>2321</v>
      </c>
      <c r="E37" s="12" t="s">
        <v>2322</v>
      </c>
      <c r="F37" s="13" t="s">
        <v>2323</v>
      </c>
      <c r="G37" s="12" t="s">
        <v>1382</v>
      </c>
      <c r="H37" s="12" t="s">
        <v>174</v>
      </c>
    </row>
    <row r="38" customFormat="false" ht="35.05" hidden="false" customHeight="false" outlineLevel="0" collapsed="false">
      <c r="A38" s="12" t="s">
        <v>2324</v>
      </c>
      <c r="B38" s="12" t="s">
        <v>516</v>
      </c>
      <c r="C38" s="12" t="s">
        <v>2272</v>
      </c>
      <c r="D38" s="13" t="s">
        <v>2325</v>
      </c>
      <c r="E38" s="12" t="s">
        <v>2318</v>
      </c>
      <c r="F38" s="13" t="s">
        <v>2326</v>
      </c>
      <c r="G38" s="12" t="s">
        <v>1382</v>
      </c>
      <c r="H38" s="12" t="s">
        <v>174</v>
      </c>
    </row>
    <row r="39" customFormat="false" ht="46.25" hidden="false" customHeight="false" outlineLevel="0" collapsed="false">
      <c r="A39" s="12" t="s">
        <v>2327</v>
      </c>
      <c r="B39" s="12" t="s">
        <v>516</v>
      </c>
      <c r="C39" s="12" t="s">
        <v>1245</v>
      </c>
      <c r="D39" s="13" t="s">
        <v>2328</v>
      </c>
      <c r="E39" s="12" t="s">
        <v>2322</v>
      </c>
      <c r="F39" s="13" t="s">
        <v>2329</v>
      </c>
      <c r="G39" s="12" t="s">
        <v>1382</v>
      </c>
      <c r="H39" s="12" t="s">
        <v>174</v>
      </c>
    </row>
    <row r="40" customFormat="false" ht="23.85" hidden="false" customHeight="false" outlineLevel="0" collapsed="false">
      <c r="A40" s="12" t="s">
        <v>2330</v>
      </c>
      <c r="B40" s="12" t="s">
        <v>579</v>
      </c>
      <c r="C40" s="12" t="s">
        <v>402</v>
      </c>
      <c r="D40" s="13" t="s">
        <v>2331</v>
      </c>
      <c r="E40" s="12" t="s">
        <v>1671</v>
      </c>
      <c r="F40" s="13" t="s">
        <v>2332</v>
      </c>
      <c r="G40" s="12" t="s">
        <v>1382</v>
      </c>
      <c r="H40" s="12" t="s">
        <v>174</v>
      </c>
    </row>
  </sheetData>
  <autoFilter ref="A1:H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0"/>
    <col collapsed="false" customWidth="true" hidden="false" outlineLevel="0" max="4" min="4" style="0" width="16"/>
    <col collapsed="false" customWidth="true" hidden="false" outlineLevel="0" max="5" min="5" style="0" width="60"/>
    <col collapsed="false" customWidth="true" hidden="false" outlineLevel="0" max="6" min="6" style="0" width="30"/>
    <col collapsed="false" customWidth="true" hidden="false" outlineLevel="0" max="7" min="7" style="0" width="50"/>
    <col collapsed="false" customWidth="true" hidden="false" outlineLevel="0" max="8" min="8" style="0" width="10"/>
    <col collapsed="false" customWidth="true" hidden="false" outlineLevel="0" max="9" min="9" style="0" width="13"/>
    <col collapsed="false" customWidth="true" hidden="false" outlineLevel="0" max="10" min="10" style="0" width="16"/>
    <col collapsed="false" customWidth="true" hidden="false" outlineLevel="0" max="12" min="11" style="0" width="10"/>
  </cols>
  <sheetData>
    <row r="1" customFormat="false" ht="15" hidden="false" customHeight="false" outlineLevel="0" collapsed="false">
      <c r="A1" s="11" t="s">
        <v>1373</v>
      </c>
      <c r="B1" s="11" t="s">
        <v>2333</v>
      </c>
      <c r="C1" s="11" t="s">
        <v>1371</v>
      </c>
      <c r="D1" s="11" t="s">
        <v>1372</v>
      </c>
      <c r="E1" s="11" t="s">
        <v>2334</v>
      </c>
      <c r="F1" s="11" t="s">
        <v>2335</v>
      </c>
      <c r="G1" s="11" t="s">
        <v>2336</v>
      </c>
      <c r="H1" s="11" t="s">
        <v>2337</v>
      </c>
      <c r="I1" s="11" t="s">
        <v>2338</v>
      </c>
      <c r="J1" s="11" t="s">
        <v>135</v>
      </c>
      <c r="K1" s="11" t="s">
        <v>2339</v>
      </c>
      <c r="L1" s="11" t="s">
        <v>2340</v>
      </c>
    </row>
    <row r="2" customFormat="false" ht="23.85" hidden="false" customHeight="false" outlineLevel="0" collapsed="false">
      <c r="A2" s="12" t="s">
        <v>1380</v>
      </c>
      <c r="B2" s="12" t="s">
        <v>2341</v>
      </c>
      <c r="C2" s="12" t="s">
        <v>181</v>
      </c>
      <c r="D2" s="12" t="s">
        <v>1385</v>
      </c>
      <c r="E2" s="13" t="s">
        <v>2342</v>
      </c>
      <c r="F2" s="12" t="s">
        <v>2343</v>
      </c>
      <c r="G2" s="12" t="s">
        <v>184</v>
      </c>
      <c r="H2" s="12"/>
      <c r="I2" s="12" t="s">
        <v>2344</v>
      </c>
      <c r="J2" s="12" t="n">
        <v>5</v>
      </c>
      <c r="K2" s="12" t="s">
        <v>2345</v>
      </c>
      <c r="L2" s="12" t="s">
        <v>2346</v>
      </c>
    </row>
    <row r="3" customFormat="false" ht="23.85" hidden="false" customHeight="false" outlineLevel="0" collapsed="false">
      <c r="A3" s="12" t="s">
        <v>1470</v>
      </c>
      <c r="B3" s="12" t="s">
        <v>2347</v>
      </c>
      <c r="C3" s="12" t="s">
        <v>306</v>
      </c>
      <c r="D3" s="12" t="s">
        <v>1385</v>
      </c>
      <c r="E3" s="13" t="s">
        <v>2348</v>
      </c>
      <c r="F3" s="12" t="s">
        <v>2349</v>
      </c>
      <c r="G3" s="12" t="s">
        <v>309</v>
      </c>
      <c r="H3" s="12"/>
      <c r="I3" s="12" t="s">
        <v>2350</v>
      </c>
      <c r="J3" s="12" t="n">
        <v>3</v>
      </c>
      <c r="K3" s="12" t="s">
        <v>2345</v>
      </c>
      <c r="L3" s="12" t="s">
        <v>2346</v>
      </c>
    </row>
    <row r="4" customFormat="false" ht="15" hidden="false" customHeight="false" outlineLevel="0" collapsed="false">
      <c r="A4" s="12" t="s">
        <v>1502</v>
      </c>
      <c r="B4" s="12" t="s">
        <v>356</v>
      </c>
      <c r="C4" s="12" t="s">
        <v>359</v>
      </c>
      <c r="D4" s="12" t="s">
        <v>1379</v>
      </c>
      <c r="E4" s="13" t="s">
        <v>2351</v>
      </c>
      <c r="F4" s="12" t="s">
        <v>356</v>
      </c>
      <c r="G4" s="12" t="s">
        <v>364</v>
      </c>
      <c r="H4" s="12"/>
      <c r="I4" s="12" t="s">
        <v>2344</v>
      </c>
      <c r="J4" s="12" t="n">
        <v>4</v>
      </c>
      <c r="K4" s="12" t="s">
        <v>2345</v>
      </c>
      <c r="L4" s="12" t="s">
        <v>2346</v>
      </c>
    </row>
    <row r="5" customFormat="false" ht="15" hidden="false" customHeight="false" outlineLevel="0" collapsed="false">
      <c r="A5" s="12" t="s">
        <v>1561</v>
      </c>
      <c r="B5" s="12" t="s">
        <v>2352</v>
      </c>
      <c r="C5" s="12" t="n">
        <v>2018</v>
      </c>
      <c r="D5" s="12" t="s">
        <v>1445</v>
      </c>
      <c r="E5" s="13" t="s">
        <v>2353</v>
      </c>
      <c r="F5" s="12" t="s">
        <v>2352</v>
      </c>
      <c r="G5" s="12" t="s">
        <v>386</v>
      </c>
      <c r="H5" s="12"/>
      <c r="I5" s="12" t="s">
        <v>2344</v>
      </c>
      <c r="J5" s="12" t="n">
        <v>4</v>
      </c>
      <c r="K5" s="12" t="s">
        <v>2345</v>
      </c>
      <c r="L5" s="12" t="s">
        <v>2346</v>
      </c>
    </row>
    <row r="6" customFormat="false" ht="15" hidden="false" customHeight="false" outlineLevel="0" collapsed="false">
      <c r="A6" s="12" t="s">
        <v>1462</v>
      </c>
      <c r="B6" s="12" t="s">
        <v>2354</v>
      </c>
      <c r="C6" s="12" t="s">
        <v>2355</v>
      </c>
      <c r="D6" s="12" t="s">
        <v>1385</v>
      </c>
      <c r="E6" s="13" t="s">
        <v>2356</v>
      </c>
      <c r="F6" s="12" t="s">
        <v>2354</v>
      </c>
      <c r="G6" s="12" t="s">
        <v>2357</v>
      </c>
      <c r="H6" s="12"/>
      <c r="I6" s="12" t="s">
        <v>2350</v>
      </c>
      <c r="J6" s="12" t="n">
        <v>2</v>
      </c>
      <c r="K6" s="12" t="s">
        <v>2345</v>
      </c>
      <c r="L6" s="12" t="s">
        <v>2346</v>
      </c>
    </row>
    <row r="7" customFormat="false" ht="15" hidden="false" customHeight="false" outlineLevel="0" collapsed="false">
      <c r="A7" s="12" t="s">
        <v>1526</v>
      </c>
      <c r="B7" s="12" t="s">
        <v>390</v>
      </c>
      <c r="C7" s="12" t="s">
        <v>398</v>
      </c>
      <c r="D7" s="12" t="s">
        <v>1385</v>
      </c>
      <c r="E7" s="13" t="s">
        <v>2358</v>
      </c>
      <c r="F7" s="12" t="s">
        <v>2359</v>
      </c>
      <c r="G7" s="12" t="s">
        <v>404</v>
      </c>
      <c r="H7" s="12"/>
      <c r="I7" s="12" t="s">
        <v>2344</v>
      </c>
      <c r="J7" s="12" t="n">
        <v>5</v>
      </c>
      <c r="K7" s="12" t="s">
        <v>2345</v>
      </c>
      <c r="L7" s="12" t="s">
        <v>2346</v>
      </c>
    </row>
    <row r="8" customFormat="false" ht="15" hidden="false" customHeight="false" outlineLevel="0" collapsed="false">
      <c r="A8" s="12" t="s">
        <v>2360</v>
      </c>
      <c r="B8" s="12" t="s">
        <v>2361</v>
      </c>
      <c r="C8" s="12" t="n">
        <v>2026</v>
      </c>
      <c r="D8" s="12" t="s">
        <v>1445</v>
      </c>
      <c r="E8" s="13" t="s">
        <v>2362</v>
      </c>
      <c r="F8" s="12" t="s">
        <v>2361</v>
      </c>
      <c r="G8" s="12" t="s">
        <v>2363</v>
      </c>
      <c r="H8" s="12"/>
      <c r="I8" s="12" t="s">
        <v>2350</v>
      </c>
      <c r="J8" s="12" t="n">
        <v>2</v>
      </c>
      <c r="K8" s="12" t="s">
        <v>2345</v>
      </c>
      <c r="L8" s="12" t="s">
        <v>2346</v>
      </c>
    </row>
    <row r="9" customFormat="false" ht="23.85" hidden="false" customHeight="false" outlineLevel="0" collapsed="false">
      <c r="A9" s="12" t="s">
        <v>1567</v>
      </c>
      <c r="B9" s="12" t="s">
        <v>2364</v>
      </c>
      <c r="C9" s="12" t="s">
        <v>2365</v>
      </c>
      <c r="D9" s="12" t="s">
        <v>1385</v>
      </c>
      <c r="E9" s="13" t="s">
        <v>2366</v>
      </c>
      <c r="F9" s="12" t="s">
        <v>2364</v>
      </c>
      <c r="G9" s="12" t="s">
        <v>2367</v>
      </c>
      <c r="H9" s="12"/>
      <c r="I9" s="12" t="s">
        <v>2350</v>
      </c>
      <c r="J9" s="12" t="n">
        <v>3</v>
      </c>
      <c r="K9" s="12" t="s">
        <v>2345</v>
      </c>
      <c r="L9" s="12" t="s">
        <v>2346</v>
      </c>
    </row>
    <row r="10" customFormat="false" ht="15" hidden="false" customHeight="false" outlineLevel="0" collapsed="false">
      <c r="A10" s="12" t="s">
        <v>2368</v>
      </c>
      <c r="B10" s="12" t="s">
        <v>2369</v>
      </c>
      <c r="C10" s="12" t="s">
        <v>2370</v>
      </c>
      <c r="D10" s="12" t="s">
        <v>1385</v>
      </c>
      <c r="E10" s="13" t="s">
        <v>2371</v>
      </c>
      <c r="F10" s="12" t="s">
        <v>2364</v>
      </c>
      <c r="G10" s="12" t="s">
        <v>2372</v>
      </c>
      <c r="H10" s="12"/>
      <c r="I10" s="12" t="s">
        <v>2350</v>
      </c>
      <c r="J10" s="12" t="n">
        <v>3</v>
      </c>
      <c r="K10" s="12" t="s">
        <v>2345</v>
      </c>
      <c r="L10" s="12" t="s">
        <v>2346</v>
      </c>
    </row>
    <row r="11" customFormat="false" ht="15" hidden="false" customHeight="false" outlineLevel="0" collapsed="false">
      <c r="A11" s="12" t="s">
        <v>1666</v>
      </c>
      <c r="B11" s="12" t="s">
        <v>2373</v>
      </c>
      <c r="C11" s="12" t="s">
        <v>2374</v>
      </c>
      <c r="D11" s="12" t="s">
        <v>1379</v>
      </c>
      <c r="E11" s="13" t="s">
        <v>2375</v>
      </c>
      <c r="F11" s="12" t="s">
        <v>2373</v>
      </c>
      <c r="G11" s="12" t="s">
        <v>590</v>
      </c>
      <c r="H11" s="12"/>
      <c r="I11" s="12" t="s">
        <v>2350</v>
      </c>
      <c r="J11" s="12" t="n">
        <v>2</v>
      </c>
      <c r="K11" s="12" t="s">
        <v>2345</v>
      </c>
      <c r="L11" s="12" t="s">
        <v>2346</v>
      </c>
    </row>
    <row r="12" customFormat="false" ht="15" hidden="false" customHeight="false" outlineLevel="0" collapsed="false">
      <c r="A12" s="12" t="s">
        <v>1671</v>
      </c>
      <c r="B12" s="12" t="s">
        <v>2376</v>
      </c>
      <c r="C12" s="12" t="s">
        <v>2377</v>
      </c>
      <c r="D12" s="12" t="s">
        <v>1385</v>
      </c>
      <c r="E12" s="13" t="s">
        <v>2378</v>
      </c>
      <c r="F12" s="12" t="s">
        <v>2379</v>
      </c>
      <c r="G12" s="12" t="s">
        <v>2380</v>
      </c>
      <c r="H12" s="12"/>
      <c r="I12" s="12" t="s">
        <v>2350</v>
      </c>
      <c r="J12" s="12" t="n">
        <v>2</v>
      </c>
      <c r="K12" s="12" t="s">
        <v>2345</v>
      </c>
      <c r="L12" s="12" t="s">
        <v>2346</v>
      </c>
    </row>
    <row r="13" customFormat="false" ht="15" hidden="false" customHeight="false" outlineLevel="0" collapsed="false">
      <c r="A13" s="12" t="s">
        <v>2381</v>
      </c>
      <c r="B13" s="12" t="s">
        <v>2382</v>
      </c>
      <c r="C13" s="12"/>
      <c r="D13" s="12"/>
      <c r="E13" s="13" t="s">
        <v>2383</v>
      </c>
      <c r="F13" s="12" t="s">
        <v>2382</v>
      </c>
      <c r="G13" s="12" t="s">
        <v>2384</v>
      </c>
      <c r="H13" s="12"/>
      <c r="I13" s="12" t="s">
        <v>2385</v>
      </c>
      <c r="J13" s="12" t="n">
        <v>2</v>
      </c>
      <c r="K13" s="12" t="s">
        <v>2345</v>
      </c>
      <c r="L13" s="12" t="s">
        <v>2346</v>
      </c>
    </row>
    <row r="14" customFormat="false" ht="15" hidden="false" customHeight="false" outlineLevel="0" collapsed="false">
      <c r="A14" s="12" t="s">
        <v>1698</v>
      </c>
      <c r="B14" s="12" t="s">
        <v>2386</v>
      </c>
      <c r="C14" s="12" t="s">
        <v>635</v>
      </c>
      <c r="D14" s="12" t="s">
        <v>1385</v>
      </c>
      <c r="E14" s="13" t="s">
        <v>2387</v>
      </c>
      <c r="F14" s="12" t="s">
        <v>2388</v>
      </c>
      <c r="G14" s="12" t="s">
        <v>629</v>
      </c>
      <c r="H14" s="12"/>
      <c r="I14" s="12" t="s">
        <v>2350</v>
      </c>
      <c r="J14" s="12" t="n">
        <v>3</v>
      </c>
      <c r="K14" s="12" t="s">
        <v>2345</v>
      </c>
      <c r="L14" s="12" t="s">
        <v>2346</v>
      </c>
    </row>
    <row r="15" customFormat="false" ht="23.85" hidden="false" customHeight="false" outlineLevel="0" collapsed="false">
      <c r="A15" s="12" t="s">
        <v>1735</v>
      </c>
      <c r="B15" s="12" t="s">
        <v>2389</v>
      </c>
      <c r="C15" s="12" t="s">
        <v>679</v>
      </c>
      <c r="D15" s="12" t="s">
        <v>1385</v>
      </c>
      <c r="E15" s="13" t="s">
        <v>2390</v>
      </c>
      <c r="F15" s="12" t="s">
        <v>2389</v>
      </c>
      <c r="G15" s="12" t="s">
        <v>681</v>
      </c>
      <c r="H15" s="12"/>
      <c r="I15" s="12" t="s">
        <v>2350</v>
      </c>
      <c r="J15" s="12" t="n">
        <v>3</v>
      </c>
      <c r="K15" s="12" t="s">
        <v>2345</v>
      </c>
      <c r="L15" s="12" t="s">
        <v>2346</v>
      </c>
    </row>
    <row r="16" customFormat="false" ht="15" hidden="false" customHeight="false" outlineLevel="0" collapsed="false">
      <c r="A16" s="12" t="s">
        <v>1709</v>
      </c>
      <c r="B16" s="12" t="s">
        <v>2391</v>
      </c>
      <c r="C16" s="12" t="s">
        <v>1708</v>
      </c>
      <c r="D16" s="12" t="s">
        <v>1385</v>
      </c>
      <c r="E16" s="13" t="s">
        <v>2392</v>
      </c>
      <c r="F16" s="12" t="s">
        <v>2391</v>
      </c>
      <c r="G16" s="12" t="s">
        <v>2393</v>
      </c>
      <c r="H16" s="12"/>
      <c r="I16" s="12" t="s">
        <v>2350</v>
      </c>
      <c r="J16" s="12" t="n">
        <v>2</v>
      </c>
      <c r="K16" s="12" t="s">
        <v>2345</v>
      </c>
      <c r="L16" s="12" t="s">
        <v>2346</v>
      </c>
    </row>
    <row r="17" customFormat="false" ht="23.85" hidden="false" customHeight="false" outlineLevel="0" collapsed="false">
      <c r="A17" s="12" t="s">
        <v>1427</v>
      </c>
      <c r="B17" s="12" t="s">
        <v>2394</v>
      </c>
      <c r="C17" s="12" t="n">
        <v>2024</v>
      </c>
      <c r="D17" s="12" t="s">
        <v>1445</v>
      </c>
      <c r="E17" s="13" t="s">
        <v>2395</v>
      </c>
      <c r="F17" s="12" t="s">
        <v>2396</v>
      </c>
      <c r="G17" s="12" t="s">
        <v>806</v>
      </c>
      <c r="H17" s="12"/>
      <c r="I17" s="12" t="s">
        <v>2385</v>
      </c>
      <c r="J17" s="12" t="n">
        <v>2</v>
      </c>
      <c r="K17" s="12" t="s">
        <v>2345</v>
      </c>
      <c r="L17" s="12" t="s">
        <v>2346</v>
      </c>
    </row>
    <row r="18" customFormat="false" ht="15" hidden="false" customHeight="false" outlineLevel="0" collapsed="false">
      <c r="A18" s="12" t="s">
        <v>2397</v>
      </c>
      <c r="B18" s="12" t="s">
        <v>2398</v>
      </c>
      <c r="C18" s="12"/>
      <c r="D18" s="12"/>
      <c r="E18" s="13" t="s">
        <v>2399</v>
      </c>
      <c r="F18" s="12" t="s">
        <v>2400</v>
      </c>
      <c r="G18" s="12" t="s">
        <v>2401</v>
      </c>
      <c r="H18" s="12"/>
      <c r="I18" s="12" t="s">
        <v>2344</v>
      </c>
      <c r="J18" s="12" t="n">
        <v>4</v>
      </c>
      <c r="K18" s="12" t="s">
        <v>2345</v>
      </c>
      <c r="L18" s="12" t="s">
        <v>2346</v>
      </c>
    </row>
    <row r="19" customFormat="false" ht="15" hidden="false" customHeight="false" outlineLevel="0" collapsed="false">
      <c r="A19" s="12" t="s">
        <v>1890</v>
      </c>
      <c r="B19" s="12" t="s">
        <v>893</v>
      </c>
      <c r="C19" s="12"/>
      <c r="D19" s="12"/>
      <c r="E19" s="13" t="s">
        <v>2402</v>
      </c>
      <c r="F19" s="12" t="s">
        <v>2403</v>
      </c>
      <c r="G19" s="12" t="s">
        <v>889</v>
      </c>
      <c r="H19" s="12"/>
      <c r="I19" s="12" t="s">
        <v>2344</v>
      </c>
      <c r="J19" s="12" t="n">
        <v>4</v>
      </c>
      <c r="K19" s="12" t="s">
        <v>2345</v>
      </c>
      <c r="L19" s="12" t="s">
        <v>2346</v>
      </c>
    </row>
    <row r="20" customFormat="false" ht="23.85" hidden="false" customHeight="false" outlineLevel="0" collapsed="false">
      <c r="A20" s="12" t="s">
        <v>1937</v>
      </c>
      <c r="B20" s="12" t="s">
        <v>2404</v>
      </c>
      <c r="C20" s="12" t="s">
        <v>1323</v>
      </c>
      <c r="D20" s="12" t="s">
        <v>1385</v>
      </c>
      <c r="E20" s="13" t="s">
        <v>2405</v>
      </c>
      <c r="F20" s="12" t="s">
        <v>2404</v>
      </c>
      <c r="G20" s="12" t="s">
        <v>2406</v>
      </c>
      <c r="H20" s="12"/>
      <c r="I20" s="12" t="s">
        <v>2350</v>
      </c>
      <c r="J20" s="12" t="n">
        <v>3</v>
      </c>
      <c r="K20" s="12" t="s">
        <v>2345</v>
      </c>
      <c r="L20" s="12" t="s">
        <v>2346</v>
      </c>
    </row>
    <row r="21" customFormat="false" ht="15" hidden="false" customHeight="false" outlineLevel="0" collapsed="false">
      <c r="A21" s="12" t="s">
        <v>1934</v>
      </c>
      <c r="B21" s="12" t="s">
        <v>2407</v>
      </c>
      <c r="C21" s="12" t="s">
        <v>2408</v>
      </c>
      <c r="D21" s="12" t="s">
        <v>1385</v>
      </c>
      <c r="E21" s="13" t="s">
        <v>2409</v>
      </c>
      <c r="F21" s="12" t="s">
        <v>2410</v>
      </c>
      <c r="G21" s="12" t="s">
        <v>963</v>
      </c>
      <c r="H21" s="12"/>
      <c r="I21" s="12" t="s">
        <v>2350</v>
      </c>
      <c r="J21" s="12" t="n">
        <v>3</v>
      </c>
      <c r="K21" s="12" t="s">
        <v>2345</v>
      </c>
      <c r="L21" s="12" t="s">
        <v>2346</v>
      </c>
    </row>
    <row r="22" customFormat="false" ht="15" hidden="false" customHeight="false" outlineLevel="0" collapsed="false">
      <c r="A22" s="12" t="s">
        <v>2411</v>
      </c>
      <c r="B22" s="12" t="s">
        <v>2412</v>
      </c>
      <c r="C22" s="12" t="s">
        <v>2413</v>
      </c>
      <c r="D22" s="12" t="s">
        <v>1385</v>
      </c>
      <c r="E22" s="13" t="s">
        <v>2414</v>
      </c>
      <c r="F22" s="12" t="s">
        <v>2412</v>
      </c>
      <c r="G22" s="12" t="s">
        <v>2415</v>
      </c>
      <c r="H22" s="12"/>
      <c r="I22" s="12" t="s">
        <v>2350</v>
      </c>
      <c r="J22" s="12" t="n">
        <v>2</v>
      </c>
      <c r="K22" s="12" t="s">
        <v>2345</v>
      </c>
      <c r="L22" s="12" t="s">
        <v>2346</v>
      </c>
    </row>
    <row r="23" customFormat="false" ht="15" hidden="false" customHeight="false" outlineLevel="0" collapsed="false">
      <c r="A23" s="12" t="s">
        <v>2416</v>
      </c>
      <c r="B23" s="12" t="s">
        <v>2391</v>
      </c>
      <c r="C23" s="12" t="n">
        <v>2025</v>
      </c>
      <c r="D23" s="12" t="s">
        <v>1445</v>
      </c>
      <c r="E23" s="13" t="s">
        <v>2417</v>
      </c>
      <c r="F23" s="12" t="s">
        <v>2391</v>
      </c>
      <c r="G23" s="12" t="s">
        <v>2418</v>
      </c>
      <c r="H23" s="12"/>
      <c r="I23" s="12" t="s">
        <v>2350</v>
      </c>
      <c r="J23" s="12" t="n">
        <v>2</v>
      </c>
      <c r="K23" s="12" t="s">
        <v>2345</v>
      </c>
      <c r="L23" s="12" t="s">
        <v>2346</v>
      </c>
    </row>
    <row r="24" customFormat="false" ht="23.85" hidden="false" customHeight="false" outlineLevel="0" collapsed="false">
      <c r="A24" s="12" t="s">
        <v>2042</v>
      </c>
      <c r="B24" s="12" t="s">
        <v>2369</v>
      </c>
      <c r="C24" s="12" t="s">
        <v>2419</v>
      </c>
      <c r="D24" s="12" t="s">
        <v>1385</v>
      </c>
      <c r="E24" s="13" t="s">
        <v>2420</v>
      </c>
      <c r="F24" s="12" t="s">
        <v>2364</v>
      </c>
      <c r="G24" s="12" t="s">
        <v>2421</v>
      </c>
      <c r="H24" s="12"/>
      <c r="I24" s="12" t="s">
        <v>2350</v>
      </c>
      <c r="J24" s="12" t="n">
        <v>3</v>
      </c>
      <c r="K24" s="12" t="s">
        <v>2345</v>
      </c>
      <c r="L24" s="12" t="s">
        <v>2346</v>
      </c>
    </row>
    <row r="25" customFormat="false" ht="15" hidden="false" customHeight="false" outlineLevel="0" collapsed="false">
      <c r="A25" s="12" t="s">
        <v>2422</v>
      </c>
      <c r="B25" s="12" t="s">
        <v>2364</v>
      </c>
      <c r="C25" s="12" t="s">
        <v>2423</v>
      </c>
      <c r="D25" s="12" t="s">
        <v>1385</v>
      </c>
      <c r="E25" s="13" t="s">
        <v>2424</v>
      </c>
      <c r="F25" s="12" t="s">
        <v>2364</v>
      </c>
      <c r="G25" s="12" t="s">
        <v>2425</v>
      </c>
      <c r="H25" s="12"/>
      <c r="I25" s="12" t="s">
        <v>2350</v>
      </c>
      <c r="J25" s="12" t="n">
        <v>3</v>
      </c>
      <c r="K25" s="12" t="s">
        <v>2345</v>
      </c>
      <c r="L25" s="12" t="s">
        <v>2346</v>
      </c>
    </row>
    <row r="26" customFormat="false" ht="15" hidden="false" customHeight="false" outlineLevel="0" collapsed="false">
      <c r="A26" s="12" t="s">
        <v>2090</v>
      </c>
      <c r="B26" s="12" t="s">
        <v>2426</v>
      </c>
      <c r="C26" s="12"/>
      <c r="D26" s="12"/>
      <c r="E26" s="13" t="s">
        <v>2427</v>
      </c>
      <c r="F26" s="12" t="s">
        <v>2428</v>
      </c>
      <c r="G26" s="12" t="s">
        <v>1136</v>
      </c>
      <c r="H26" s="12"/>
      <c r="I26" s="12" t="s">
        <v>2344</v>
      </c>
      <c r="J26" s="12" t="n">
        <v>4</v>
      </c>
      <c r="K26" s="12" t="s">
        <v>2345</v>
      </c>
      <c r="L26" s="12" t="s">
        <v>2346</v>
      </c>
    </row>
    <row r="27" customFormat="false" ht="23.85" hidden="false" customHeight="false" outlineLevel="0" collapsed="false">
      <c r="A27" s="12" t="s">
        <v>2069</v>
      </c>
      <c r="B27" s="12" t="s">
        <v>2429</v>
      </c>
      <c r="C27" s="12" t="n">
        <v>2018</v>
      </c>
      <c r="D27" s="12" t="s">
        <v>1445</v>
      </c>
      <c r="E27" s="13" t="s">
        <v>2430</v>
      </c>
      <c r="F27" s="12" t="s">
        <v>2429</v>
      </c>
      <c r="G27" s="12" t="s">
        <v>2431</v>
      </c>
      <c r="H27" s="12"/>
      <c r="I27" s="12" t="s">
        <v>2350</v>
      </c>
      <c r="J27" s="12" t="n">
        <v>3</v>
      </c>
      <c r="K27" s="12" t="s">
        <v>2345</v>
      </c>
      <c r="L27" s="12" t="s">
        <v>2346</v>
      </c>
    </row>
    <row r="28" customFormat="false" ht="15" hidden="false" customHeight="false" outlineLevel="0" collapsed="false">
      <c r="A28" s="12" t="s">
        <v>2097</v>
      </c>
      <c r="B28" s="12" t="s">
        <v>2432</v>
      </c>
      <c r="C28" s="12" t="n">
        <v>2018</v>
      </c>
      <c r="D28" s="12" t="s">
        <v>1445</v>
      </c>
      <c r="E28" s="13" t="s">
        <v>2433</v>
      </c>
      <c r="F28" s="12" t="s">
        <v>2432</v>
      </c>
      <c r="G28" s="12" t="s">
        <v>2434</v>
      </c>
      <c r="H28" s="12"/>
      <c r="I28" s="12" t="s">
        <v>2350</v>
      </c>
      <c r="J28" s="12" t="n">
        <v>3</v>
      </c>
      <c r="K28" s="12" t="s">
        <v>2345</v>
      </c>
      <c r="L28" s="12" t="s">
        <v>2346</v>
      </c>
    </row>
    <row r="29" customFormat="false" ht="15" hidden="false" customHeight="false" outlineLevel="0" collapsed="false">
      <c r="A29" s="12" t="s">
        <v>2118</v>
      </c>
      <c r="B29" s="12" t="s">
        <v>2435</v>
      </c>
      <c r="C29" s="12" t="n">
        <v>2023</v>
      </c>
      <c r="D29" s="12" t="s">
        <v>1445</v>
      </c>
      <c r="E29" s="13" t="s">
        <v>2436</v>
      </c>
      <c r="F29" s="12" t="s">
        <v>2437</v>
      </c>
      <c r="G29" s="12" t="s">
        <v>2438</v>
      </c>
      <c r="H29" s="12"/>
      <c r="I29" s="12" t="s">
        <v>2385</v>
      </c>
      <c r="J29" s="12" t="n">
        <v>2</v>
      </c>
      <c r="K29" s="12" t="s">
        <v>2345</v>
      </c>
      <c r="L29" s="12" t="s">
        <v>2346</v>
      </c>
    </row>
    <row r="30" customFormat="false" ht="15" hidden="false" customHeight="false" outlineLevel="0" collapsed="false">
      <c r="A30" s="12" t="s">
        <v>2155</v>
      </c>
      <c r="B30" s="12" t="s">
        <v>2391</v>
      </c>
      <c r="C30" s="12" t="n">
        <v>2018</v>
      </c>
      <c r="D30" s="12" t="s">
        <v>1445</v>
      </c>
      <c r="E30" s="13" t="s">
        <v>2439</v>
      </c>
      <c r="F30" s="12" t="s">
        <v>2391</v>
      </c>
      <c r="G30" s="12" t="s">
        <v>2440</v>
      </c>
      <c r="H30" s="12"/>
      <c r="I30" s="12" t="s">
        <v>2350</v>
      </c>
      <c r="J30" s="12" t="n">
        <v>2</v>
      </c>
      <c r="K30" s="12" t="s">
        <v>2345</v>
      </c>
      <c r="L30" s="12" t="s">
        <v>2346</v>
      </c>
    </row>
    <row r="31" customFormat="false" ht="15" hidden="false" customHeight="false" outlineLevel="0" collapsed="false">
      <c r="A31" s="12" t="s">
        <v>2441</v>
      </c>
      <c r="B31" s="12" t="s">
        <v>2442</v>
      </c>
      <c r="C31" s="12" t="n">
        <v>2024</v>
      </c>
      <c r="D31" s="12" t="s">
        <v>1445</v>
      </c>
      <c r="E31" s="13" t="s">
        <v>2443</v>
      </c>
      <c r="F31" s="12" t="s">
        <v>2442</v>
      </c>
      <c r="G31" s="12" t="s">
        <v>2444</v>
      </c>
      <c r="H31" s="12"/>
      <c r="I31" s="12" t="s">
        <v>2350</v>
      </c>
      <c r="J31" s="12" t="n">
        <v>2</v>
      </c>
      <c r="K31" s="12" t="s">
        <v>2345</v>
      </c>
      <c r="L31" s="12" t="s">
        <v>2346</v>
      </c>
    </row>
    <row r="32" customFormat="false" ht="23.85" hidden="false" customHeight="false" outlineLevel="0" collapsed="false">
      <c r="A32" s="12" t="s">
        <v>2445</v>
      </c>
      <c r="B32" s="12" t="s">
        <v>2400</v>
      </c>
      <c r="C32" s="12"/>
      <c r="D32" s="12"/>
      <c r="E32" s="13" t="s">
        <v>2446</v>
      </c>
      <c r="F32" s="12" t="s">
        <v>2447</v>
      </c>
      <c r="G32" s="12" t="s">
        <v>2448</v>
      </c>
      <c r="H32" s="12"/>
      <c r="I32" s="12" t="s">
        <v>2344</v>
      </c>
      <c r="J32" s="12" t="n">
        <v>4</v>
      </c>
      <c r="K32" s="12" t="s">
        <v>2345</v>
      </c>
      <c r="L32" s="12" t="s">
        <v>2346</v>
      </c>
    </row>
    <row r="33" customFormat="false" ht="15" hidden="false" customHeight="false" outlineLevel="0" collapsed="false">
      <c r="A33" s="12" t="s">
        <v>1386</v>
      </c>
      <c r="B33" s="12" t="s">
        <v>2341</v>
      </c>
      <c r="C33" s="12" t="s">
        <v>166</v>
      </c>
      <c r="D33" s="12" t="s">
        <v>1385</v>
      </c>
      <c r="E33" s="13" t="s">
        <v>2449</v>
      </c>
      <c r="F33" s="12" t="s">
        <v>2343</v>
      </c>
      <c r="G33" s="12" t="s">
        <v>2450</v>
      </c>
      <c r="H33" s="12"/>
      <c r="I33" s="12" t="s">
        <v>2344</v>
      </c>
      <c r="J33" s="12" t="n">
        <v>4</v>
      </c>
      <c r="K33" s="12" t="s">
        <v>2345</v>
      </c>
      <c r="L33" s="12" t="s">
        <v>2346</v>
      </c>
    </row>
    <row r="34" customFormat="false" ht="15" hidden="false" customHeight="false" outlineLevel="0" collapsed="false">
      <c r="A34" s="12" t="s">
        <v>1695</v>
      </c>
      <c r="B34" s="12" t="s">
        <v>2373</v>
      </c>
      <c r="C34" s="12" t="n">
        <v>2019</v>
      </c>
      <c r="D34" s="12" t="s">
        <v>1445</v>
      </c>
      <c r="E34" s="13" t="s">
        <v>2451</v>
      </c>
      <c r="F34" s="12" t="s">
        <v>2373</v>
      </c>
      <c r="G34" s="12" t="s">
        <v>2452</v>
      </c>
      <c r="H34" s="12"/>
      <c r="I34" s="12" t="s">
        <v>2350</v>
      </c>
      <c r="J34" s="12" t="n">
        <v>2</v>
      </c>
      <c r="K34" s="12" t="s">
        <v>2345</v>
      </c>
      <c r="L34" s="12" t="s">
        <v>2346</v>
      </c>
    </row>
    <row r="35" customFormat="false" ht="15" hidden="false" customHeight="false" outlineLevel="0" collapsed="false">
      <c r="A35" s="12" t="s">
        <v>2453</v>
      </c>
      <c r="B35" s="12" t="s">
        <v>2349</v>
      </c>
      <c r="C35" s="12" t="s">
        <v>2454</v>
      </c>
      <c r="D35" s="12" t="s">
        <v>1379</v>
      </c>
      <c r="E35" s="13" t="s">
        <v>2455</v>
      </c>
      <c r="F35" s="12" t="s">
        <v>2349</v>
      </c>
      <c r="G35" s="12" t="s">
        <v>2456</v>
      </c>
      <c r="H35" s="12"/>
      <c r="I35" s="12" t="s">
        <v>2350</v>
      </c>
      <c r="J35" s="12" t="n">
        <v>3</v>
      </c>
      <c r="K35" s="12" t="s">
        <v>2345</v>
      </c>
      <c r="L35" s="12" t="s">
        <v>2346</v>
      </c>
    </row>
    <row r="36" customFormat="false" ht="15" hidden="false" customHeight="false" outlineLevel="0" collapsed="false">
      <c r="A36" s="12" t="s">
        <v>1740</v>
      </c>
      <c r="B36" s="12" t="s">
        <v>2400</v>
      </c>
      <c r="C36" s="12" t="s">
        <v>228</v>
      </c>
      <c r="D36" s="12" t="s">
        <v>1379</v>
      </c>
      <c r="E36" s="13" t="s">
        <v>2457</v>
      </c>
      <c r="F36" s="12" t="s">
        <v>2447</v>
      </c>
      <c r="G36" s="12" t="s">
        <v>2458</v>
      </c>
      <c r="H36" s="12"/>
      <c r="I36" s="12" t="s">
        <v>2344</v>
      </c>
      <c r="J36" s="12" t="n">
        <v>4</v>
      </c>
      <c r="K36" s="12" t="s">
        <v>2345</v>
      </c>
      <c r="L36" s="12" t="s">
        <v>2346</v>
      </c>
    </row>
    <row r="37" customFormat="false" ht="15" hidden="false" customHeight="false" outlineLevel="0" collapsed="false">
      <c r="A37" s="12" t="s">
        <v>2459</v>
      </c>
      <c r="B37" s="12" t="s">
        <v>2460</v>
      </c>
      <c r="C37" s="12" t="s">
        <v>2461</v>
      </c>
      <c r="D37" s="12" t="s">
        <v>1379</v>
      </c>
      <c r="E37" s="13" t="s">
        <v>2462</v>
      </c>
      <c r="F37" s="12" t="s">
        <v>2463</v>
      </c>
      <c r="G37" s="12" t="s">
        <v>2464</v>
      </c>
      <c r="H37" s="12"/>
      <c r="I37" s="12" t="s">
        <v>2344</v>
      </c>
      <c r="J37" s="12" t="n">
        <v>4</v>
      </c>
      <c r="K37" s="12" t="s">
        <v>2345</v>
      </c>
      <c r="L37" s="12" t="s">
        <v>2346</v>
      </c>
    </row>
    <row r="38" customFormat="false" ht="15" hidden="false" customHeight="false" outlineLevel="0" collapsed="false">
      <c r="A38" s="12" t="s">
        <v>1745</v>
      </c>
      <c r="B38" s="12" t="s">
        <v>2354</v>
      </c>
      <c r="C38" s="12" t="s">
        <v>2465</v>
      </c>
      <c r="D38" s="12" t="s">
        <v>1385</v>
      </c>
      <c r="E38" s="13" t="s">
        <v>2466</v>
      </c>
      <c r="F38" s="12" t="s">
        <v>2354</v>
      </c>
      <c r="G38" s="12" t="s">
        <v>2467</v>
      </c>
      <c r="H38" s="12"/>
      <c r="I38" s="12" t="s">
        <v>2350</v>
      </c>
      <c r="J38" s="12" t="n">
        <v>2</v>
      </c>
      <c r="K38" s="12" t="s">
        <v>2345</v>
      </c>
      <c r="L38" s="12" t="s">
        <v>2346</v>
      </c>
    </row>
    <row r="39" customFormat="false" ht="15" hidden="false" customHeight="false" outlineLevel="0" collapsed="false">
      <c r="A39" s="12" t="s">
        <v>1753</v>
      </c>
      <c r="B39" s="12" t="s">
        <v>2468</v>
      </c>
      <c r="C39" s="12" t="s">
        <v>716</v>
      </c>
      <c r="D39" s="12" t="s">
        <v>1385</v>
      </c>
      <c r="E39" s="13" t="s">
        <v>2469</v>
      </c>
      <c r="F39" s="12" t="s">
        <v>2468</v>
      </c>
      <c r="G39" s="12" t="s">
        <v>720</v>
      </c>
      <c r="H39" s="12"/>
      <c r="I39" s="12" t="s">
        <v>2350</v>
      </c>
      <c r="J39" s="12" t="n">
        <v>3</v>
      </c>
      <c r="K39" s="12" t="s">
        <v>2345</v>
      </c>
      <c r="L39" s="12" t="s">
        <v>2346</v>
      </c>
    </row>
    <row r="40" customFormat="false" ht="15" hidden="false" customHeight="false" outlineLevel="0" collapsed="false">
      <c r="A40" s="12" t="s">
        <v>1758</v>
      </c>
      <c r="B40" s="12" t="s">
        <v>2470</v>
      </c>
      <c r="C40" s="12" t="s">
        <v>2471</v>
      </c>
      <c r="D40" s="12" t="s">
        <v>1385</v>
      </c>
      <c r="E40" s="13" t="s">
        <v>2472</v>
      </c>
      <c r="F40" s="12" t="s">
        <v>2470</v>
      </c>
      <c r="G40" s="12" t="s">
        <v>2473</v>
      </c>
      <c r="H40" s="12"/>
      <c r="I40" s="12" t="s">
        <v>2350</v>
      </c>
      <c r="J40" s="12" t="n">
        <v>2</v>
      </c>
      <c r="K40" s="12" t="s">
        <v>2345</v>
      </c>
      <c r="L40" s="12" t="s">
        <v>2346</v>
      </c>
    </row>
    <row r="41" customFormat="false" ht="15" hidden="false" customHeight="false" outlineLevel="0" collapsed="false">
      <c r="A41" s="12" t="s">
        <v>1770</v>
      </c>
      <c r="B41" s="12" t="s">
        <v>2474</v>
      </c>
      <c r="C41" s="12" t="s">
        <v>735</v>
      </c>
      <c r="D41" s="12" t="s">
        <v>1385</v>
      </c>
      <c r="E41" s="13" t="s">
        <v>2475</v>
      </c>
      <c r="F41" s="12" t="s">
        <v>2476</v>
      </c>
      <c r="G41" s="12" t="s">
        <v>736</v>
      </c>
      <c r="H41" s="12"/>
      <c r="I41" s="12" t="s">
        <v>2350</v>
      </c>
      <c r="J41" s="12" t="n">
        <v>3</v>
      </c>
      <c r="K41" s="12" t="s">
        <v>2345</v>
      </c>
      <c r="L41" s="12" t="s">
        <v>2346</v>
      </c>
    </row>
    <row r="42" customFormat="false" ht="15" hidden="false" customHeight="false" outlineLevel="0" collapsed="false">
      <c r="A42" s="12" t="s">
        <v>1778</v>
      </c>
      <c r="B42" s="12" t="s">
        <v>2477</v>
      </c>
      <c r="C42" s="12" t="s">
        <v>744</v>
      </c>
      <c r="D42" s="12" t="s">
        <v>1385</v>
      </c>
      <c r="E42" s="13" t="s">
        <v>2478</v>
      </c>
      <c r="F42" s="12" t="s">
        <v>2477</v>
      </c>
      <c r="G42" s="12" t="s">
        <v>2479</v>
      </c>
      <c r="H42" s="12"/>
      <c r="I42" s="12" t="s">
        <v>2350</v>
      </c>
      <c r="J42" s="12" t="n">
        <v>2</v>
      </c>
      <c r="K42" s="12" t="s">
        <v>2345</v>
      </c>
      <c r="L42" s="12" t="s">
        <v>2346</v>
      </c>
    </row>
    <row r="43" customFormat="false" ht="23.85" hidden="false" customHeight="false" outlineLevel="0" collapsed="false">
      <c r="A43" s="12" t="s">
        <v>1784</v>
      </c>
      <c r="B43" s="12" t="s">
        <v>2480</v>
      </c>
      <c r="C43" s="12" t="s">
        <v>756</v>
      </c>
      <c r="D43" s="12" t="s">
        <v>1385</v>
      </c>
      <c r="E43" s="13" t="s">
        <v>2481</v>
      </c>
      <c r="F43" s="12" t="s">
        <v>2480</v>
      </c>
      <c r="G43" s="12" t="s">
        <v>760</v>
      </c>
      <c r="H43" s="12"/>
      <c r="I43" s="12" t="s">
        <v>2350</v>
      </c>
      <c r="J43" s="12" t="n">
        <v>3</v>
      </c>
      <c r="K43" s="12" t="s">
        <v>2345</v>
      </c>
      <c r="L43" s="12" t="s">
        <v>2346</v>
      </c>
    </row>
    <row r="44" customFormat="false" ht="23.85" hidden="false" customHeight="false" outlineLevel="0" collapsed="false">
      <c r="A44" s="12" t="s">
        <v>1793</v>
      </c>
      <c r="B44" s="12" t="s">
        <v>2482</v>
      </c>
      <c r="C44" s="12" t="s">
        <v>780</v>
      </c>
      <c r="D44" s="12" t="s">
        <v>1385</v>
      </c>
      <c r="E44" s="13" t="s">
        <v>2483</v>
      </c>
      <c r="F44" s="12" t="s">
        <v>2484</v>
      </c>
      <c r="G44" s="12" t="s">
        <v>782</v>
      </c>
      <c r="H44" s="12"/>
      <c r="I44" s="12" t="s">
        <v>2344</v>
      </c>
      <c r="J44" s="12" t="n">
        <v>4</v>
      </c>
      <c r="K44" s="12" t="s">
        <v>2345</v>
      </c>
      <c r="L44" s="12" t="s">
        <v>2346</v>
      </c>
    </row>
    <row r="45" customFormat="false" ht="15" hidden="false" customHeight="false" outlineLevel="0" collapsed="false">
      <c r="A45" s="12" t="s">
        <v>2485</v>
      </c>
      <c r="B45" s="12" t="s">
        <v>2486</v>
      </c>
      <c r="C45" s="12" t="s">
        <v>2487</v>
      </c>
      <c r="D45" s="12" t="s">
        <v>1385</v>
      </c>
      <c r="E45" s="13" t="s">
        <v>2488</v>
      </c>
      <c r="F45" s="12" t="s">
        <v>2489</v>
      </c>
      <c r="G45" s="12" t="s">
        <v>795</v>
      </c>
      <c r="H45" s="12"/>
      <c r="I45" s="12" t="s">
        <v>2344</v>
      </c>
      <c r="J45" s="12" t="n">
        <v>4</v>
      </c>
      <c r="K45" s="12" t="s">
        <v>2345</v>
      </c>
      <c r="L45" s="12" t="s">
        <v>2346</v>
      </c>
    </row>
    <row r="46" customFormat="false" ht="23.85" hidden="false" customHeight="false" outlineLevel="0" collapsed="false">
      <c r="A46" s="12" t="s">
        <v>1812</v>
      </c>
      <c r="B46" s="12" t="s">
        <v>2490</v>
      </c>
      <c r="C46" s="12" t="s">
        <v>2491</v>
      </c>
      <c r="D46" s="12" t="s">
        <v>1385</v>
      </c>
      <c r="E46" s="13" t="s">
        <v>2492</v>
      </c>
      <c r="F46" s="12" t="s">
        <v>2490</v>
      </c>
      <c r="G46" s="12" t="s">
        <v>820</v>
      </c>
      <c r="H46" s="12"/>
      <c r="I46" s="12" t="s">
        <v>2350</v>
      </c>
      <c r="J46" s="12" t="n">
        <v>3</v>
      </c>
      <c r="K46" s="12" t="s">
        <v>2345</v>
      </c>
      <c r="L46" s="12" t="s">
        <v>2346</v>
      </c>
    </row>
    <row r="47" customFormat="false" ht="35.05" hidden="false" customHeight="false" outlineLevel="0" collapsed="false">
      <c r="A47" s="12" t="s">
        <v>1399</v>
      </c>
      <c r="B47" s="12" t="s">
        <v>2341</v>
      </c>
      <c r="C47" s="12" t="s">
        <v>194</v>
      </c>
      <c r="D47" s="12" t="s">
        <v>1385</v>
      </c>
      <c r="E47" s="13" t="s">
        <v>2493</v>
      </c>
      <c r="F47" s="12" t="s">
        <v>2343</v>
      </c>
      <c r="G47" s="12" t="s">
        <v>198</v>
      </c>
      <c r="H47" s="12"/>
      <c r="I47" s="12" t="s">
        <v>2344</v>
      </c>
      <c r="J47" s="12" t="n">
        <v>5</v>
      </c>
      <c r="K47" s="12" t="s">
        <v>2345</v>
      </c>
      <c r="L47" s="12" t="s">
        <v>2346</v>
      </c>
    </row>
    <row r="48" customFormat="false" ht="15" hidden="false" customHeight="false" outlineLevel="0" collapsed="false">
      <c r="A48" s="12" t="s">
        <v>2494</v>
      </c>
      <c r="B48" s="12" t="s">
        <v>2495</v>
      </c>
      <c r="C48" s="12"/>
      <c r="D48" s="12"/>
      <c r="E48" s="13" t="s">
        <v>2496</v>
      </c>
      <c r="F48" s="12" t="s">
        <v>2495</v>
      </c>
      <c r="G48" s="12" t="s">
        <v>2497</v>
      </c>
      <c r="H48" s="12"/>
      <c r="I48" s="12" t="s">
        <v>2385</v>
      </c>
      <c r="J48" s="12" t="n">
        <v>2</v>
      </c>
      <c r="K48" s="12" t="s">
        <v>2345</v>
      </c>
      <c r="L48" s="12" t="s">
        <v>2346</v>
      </c>
    </row>
    <row r="49" customFormat="false" ht="15" hidden="false" customHeight="false" outlineLevel="0" collapsed="false">
      <c r="A49" s="12" t="s">
        <v>2498</v>
      </c>
      <c r="B49" s="12" t="s">
        <v>2410</v>
      </c>
      <c r="C49" s="12" t="s">
        <v>2499</v>
      </c>
      <c r="D49" s="12" t="s">
        <v>1385</v>
      </c>
      <c r="E49" s="13" t="s">
        <v>2500</v>
      </c>
      <c r="F49" s="12" t="s">
        <v>2410</v>
      </c>
      <c r="G49" s="12" t="s">
        <v>2501</v>
      </c>
      <c r="H49" s="12"/>
      <c r="I49" s="12" t="s">
        <v>2350</v>
      </c>
      <c r="J49" s="12" t="n">
        <v>3</v>
      </c>
      <c r="K49" s="12" t="s">
        <v>2345</v>
      </c>
      <c r="L49" s="12" t="s">
        <v>2346</v>
      </c>
    </row>
    <row r="50" customFormat="false" ht="15" hidden="false" customHeight="false" outlineLevel="0" collapsed="false">
      <c r="A50" s="12" t="s">
        <v>1910</v>
      </c>
      <c r="B50" s="12" t="s">
        <v>2502</v>
      </c>
      <c r="C50" s="12" t="s">
        <v>912</v>
      </c>
      <c r="D50" s="12" t="s">
        <v>1385</v>
      </c>
      <c r="E50" s="13" t="s">
        <v>2503</v>
      </c>
      <c r="F50" s="12" t="s">
        <v>2504</v>
      </c>
      <c r="G50" s="12" t="s">
        <v>2505</v>
      </c>
      <c r="H50" s="12"/>
      <c r="I50" s="12" t="s">
        <v>2385</v>
      </c>
      <c r="J50" s="12" t="n">
        <v>2</v>
      </c>
      <c r="K50" s="12" t="s">
        <v>2345</v>
      </c>
      <c r="L50" s="12" t="s">
        <v>2346</v>
      </c>
    </row>
    <row r="51" customFormat="false" ht="23.85" hidden="false" customHeight="false" outlineLevel="0" collapsed="false">
      <c r="A51" s="12" t="s">
        <v>1902</v>
      </c>
      <c r="B51" s="12" t="s">
        <v>2429</v>
      </c>
      <c r="C51" s="12" t="n">
        <v>2018</v>
      </c>
      <c r="D51" s="12" t="s">
        <v>1445</v>
      </c>
      <c r="E51" s="13" t="s">
        <v>2506</v>
      </c>
      <c r="F51" s="12" t="s">
        <v>2429</v>
      </c>
      <c r="G51" s="12" t="s">
        <v>906</v>
      </c>
      <c r="H51" s="12"/>
      <c r="I51" s="12" t="s">
        <v>2350</v>
      </c>
      <c r="J51" s="12" t="n">
        <v>3</v>
      </c>
      <c r="K51" s="12" t="s">
        <v>2345</v>
      </c>
      <c r="L51" s="12" t="s">
        <v>2346</v>
      </c>
    </row>
    <row r="52" customFormat="false" ht="15" hidden="false" customHeight="false" outlineLevel="0" collapsed="false">
      <c r="A52" s="12" t="s">
        <v>2507</v>
      </c>
      <c r="B52" s="12" t="s">
        <v>893</v>
      </c>
      <c r="C52" s="12"/>
      <c r="D52" s="12"/>
      <c r="E52" s="13" t="s">
        <v>2508</v>
      </c>
      <c r="F52" s="12" t="s">
        <v>2403</v>
      </c>
      <c r="G52" s="12" t="s">
        <v>899</v>
      </c>
      <c r="H52" s="12"/>
      <c r="I52" s="12" t="s">
        <v>2344</v>
      </c>
      <c r="J52" s="12" t="n">
        <v>4</v>
      </c>
      <c r="K52" s="12" t="s">
        <v>2345</v>
      </c>
      <c r="L52" s="12" t="s">
        <v>2346</v>
      </c>
    </row>
    <row r="53" customFormat="false" ht="35.05" hidden="false" customHeight="false" outlineLevel="0" collapsed="false">
      <c r="A53" s="12" t="s">
        <v>1913</v>
      </c>
      <c r="B53" s="12" t="s">
        <v>2509</v>
      </c>
      <c r="C53" s="12" t="s">
        <v>926</v>
      </c>
      <c r="D53" s="12" t="s">
        <v>1385</v>
      </c>
      <c r="E53" s="13" t="s">
        <v>2510</v>
      </c>
      <c r="F53" s="12" t="s">
        <v>2509</v>
      </c>
      <c r="G53" s="12" t="s">
        <v>928</v>
      </c>
      <c r="H53" s="12"/>
      <c r="I53" s="12" t="s">
        <v>2385</v>
      </c>
      <c r="J53" s="12" t="n">
        <v>2</v>
      </c>
      <c r="K53" s="12" t="s">
        <v>2345</v>
      </c>
      <c r="L53" s="12" t="s">
        <v>2346</v>
      </c>
    </row>
    <row r="54" customFormat="false" ht="15" hidden="false" customHeight="false" outlineLevel="0" collapsed="false">
      <c r="A54" s="12" t="s">
        <v>1926</v>
      </c>
      <c r="B54" s="12" t="s">
        <v>2477</v>
      </c>
      <c r="C54" s="12" t="s">
        <v>2511</v>
      </c>
      <c r="D54" s="12" t="s">
        <v>1385</v>
      </c>
      <c r="E54" s="13" t="s">
        <v>2512</v>
      </c>
      <c r="F54" s="12" t="s">
        <v>2477</v>
      </c>
      <c r="G54" s="12" t="s">
        <v>2513</v>
      </c>
      <c r="H54" s="12"/>
      <c r="I54" s="12" t="s">
        <v>2350</v>
      </c>
      <c r="J54" s="12" t="n">
        <v>2</v>
      </c>
      <c r="K54" s="12" t="s">
        <v>2345</v>
      </c>
      <c r="L54" s="12" t="s">
        <v>2346</v>
      </c>
    </row>
    <row r="55" customFormat="false" ht="15" hidden="false" customHeight="false" outlineLevel="0" collapsed="false">
      <c r="A55" s="12" t="s">
        <v>1931</v>
      </c>
      <c r="B55" s="12" t="s">
        <v>2429</v>
      </c>
      <c r="C55" s="12" t="s">
        <v>950</v>
      </c>
      <c r="D55" s="12" t="s">
        <v>1385</v>
      </c>
      <c r="E55" s="13" t="s">
        <v>2514</v>
      </c>
      <c r="F55" s="12" t="s">
        <v>2429</v>
      </c>
      <c r="G55" s="12" t="s">
        <v>953</v>
      </c>
      <c r="H55" s="12"/>
      <c r="I55" s="12" t="s">
        <v>2350</v>
      </c>
      <c r="J55" s="12" t="n">
        <v>3</v>
      </c>
      <c r="K55" s="12" t="s">
        <v>2345</v>
      </c>
      <c r="L55" s="12" t="s">
        <v>2346</v>
      </c>
    </row>
    <row r="56" customFormat="false" ht="15" hidden="false" customHeight="false" outlineLevel="0" collapsed="false">
      <c r="A56" s="12" t="s">
        <v>1996</v>
      </c>
      <c r="B56" s="12" t="s">
        <v>2515</v>
      </c>
      <c r="C56" s="12" t="s">
        <v>1015</v>
      </c>
      <c r="D56" s="12" t="s">
        <v>1385</v>
      </c>
      <c r="E56" s="13" t="s">
        <v>2516</v>
      </c>
      <c r="F56" s="12" t="s">
        <v>2517</v>
      </c>
      <c r="G56" s="12" t="s">
        <v>1017</v>
      </c>
      <c r="H56" s="12"/>
      <c r="I56" s="12" t="s">
        <v>2350</v>
      </c>
      <c r="J56" s="12" t="n">
        <v>3</v>
      </c>
      <c r="K56" s="12" t="s">
        <v>2345</v>
      </c>
      <c r="L56" s="12" t="s">
        <v>2346</v>
      </c>
    </row>
    <row r="57" customFormat="false" ht="15" hidden="false" customHeight="false" outlineLevel="0" collapsed="false">
      <c r="A57" s="12" t="s">
        <v>2007</v>
      </c>
      <c r="B57" s="12" t="s">
        <v>2518</v>
      </c>
      <c r="C57" s="12" t="s">
        <v>1032</v>
      </c>
      <c r="D57" s="12" t="s">
        <v>1385</v>
      </c>
      <c r="E57" s="13" t="s">
        <v>2519</v>
      </c>
      <c r="F57" s="12" t="s">
        <v>2520</v>
      </c>
      <c r="G57" s="12" t="s">
        <v>1035</v>
      </c>
      <c r="H57" s="12"/>
      <c r="I57" s="12" t="s">
        <v>2350</v>
      </c>
      <c r="J57" s="12" t="n">
        <v>3</v>
      </c>
      <c r="K57" s="12" t="s">
        <v>2345</v>
      </c>
      <c r="L57" s="12" t="s">
        <v>2346</v>
      </c>
    </row>
    <row r="58" customFormat="false" ht="15" hidden="false" customHeight="false" outlineLevel="0" collapsed="false">
      <c r="A58" s="12" t="s">
        <v>2017</v>
      </c>
      <c r="B58" s="12" t="s">
        <v>2521</v>
      </c>
      <c r="C58" s="12" t="s">
        <v>464</v>
      </c>
      <c r="D58" s="12" t="s">
        <v>1385</v>
      </c>
      <c r="E58" s="13" t="s">
        <v>2522</v>
      </c>
      <c r="F58" s="12" t="s">
        <v>2521</v>
      </c>
      <c r="G58" s="12" t="s">
        <v>1055</v>
      </c>
      <c r="H58" s="12"/>
      <c r="I58" s="12" t="s">
        <v>2350</v>
      </c>
      <c r="J58" s="12" t="n">
        <v>2</v>
      </c>
      <c r="K58" s="12" t="s">
        <v>2345</v>
      </c>
      <c r="L58" s="12" t="s">
        <v>2346</v>
      </c>
    </row>
    <row r="59" customFormat="false" ht="15" hidden="false" customHeight="false" outlineLevel="0" collapsed="false">
      <c r="A59" s="12" t="s">
        <v>2022</v>
      </c>
      <c r="B59" s="12" t="s">
        <v>2521</v>
      </c>
      <c r="C59" s="12" t="s">
        <v>1061</v>
      </c>
      <c r="D59" s="12" t="s">
        <v>1385</v>
      </c>
      <c r="E59" s="13" t="s">
        <v>2523</v>
      </c>
      <c r="F59" s="12" t="s">
        <v>2521</v>
      </c>
      <c r="G59" s="12" t="s">
        <v>1062</v>
      </c>
      <c r="H59" s="12"/>
      <c r="I59" s="12" t="s">
        <v>2350</v>
      </c>
      <c r="J59" s="12" t="n">
        <v>2</v>
      </c>
      <c r="K59" s="12" t="s">
        <v>2345</v>
      </c>
      <c r="L59" s="12" t="s">
        <v>2346</v>
      </c>
    </row>
    <row r="60" customFormat="false" ht="35.05" hidden="false" customHeight="false" outlineLevel="0" collapsed="false">
      <c r="A60" s="12" t="s">
        <v>2012</v>
      </c>
      <c r="B60" s="12" t="s">
        <v>2524</v>
      </c>
      <c r="C60" s="12" t="s">
        <v>1045</v>
      </c>
      <c r="D60" s="12" t="s">
        <v>1385</v>
      </c>
      <c r="E60" s="13" t="s">
        <v>2525</v>
      </c>
      <c r="F60" s="12" t="s">
        <v>2526</v>
      </c>
      <c r="G60" s="12" t="s">
        <v>1046</v>
      </c>
      <c r="H60" s="12"/>
      <c r="I60" s="12" t="s">
        <v>2344</v>
      </c>
      <c r="J60" s="12" t="n">
        <v>4</v>
      </c>
      <c r="K60" s="12" t="s">
        <v>2345</v>
      </c>
      <c r="L60" s="12" t="s">
        <v>2346</v>
      </c>
    </row>
    <row r="61" customFormat="false" ht="23.85" hidden="false" customHeight="false" outlineLevel="0" collapsed="false">
      <c r="A61" s="12" t="s">
        <v>2027</v>
      </c>
      <c r="B61" s="12" t="s">
        <v>2527</v>
      </c>
      <c r="C61" s="12" t="s">
        <v>1072</v>
      </c>
      <c r="D61" s="12" t="s">
        <v>1385</v>
      </c>
      <c r="E61" s="13" t="s">
        <v>2528</v>
      </c>
      <c r="F61" s="12" t="s">
        <v>2527</v>
      </c>
      <c r="G61" s="12" t="s">
        <v>1075</v>
      </c>
      <c r="H61" s="12"/>
      <c r="I61" s="12" t="s">
        <v>2350</v>
      </c>
      <c r="J61" s="12" t="n">
        <v>3</v>
      </c>
      <c r="K61" s="12" t="s">
        <v>2345</v>
      </c>
      <c r="L61" s="12" t="s">
        <v>2346</v>
      </c>
    </row>
    <row r="62" customFormat="false" ht="23.85" hidden="false" customHeight="false" outlineLevel="0" collapsed="false">
      <c r="A62" s="12" t="s">
        <v>2032</v>
      </c>
      <c r="B62" s="12" t="s">
        <v>2529</v>
      </c>
      <c r="C62" s="12" t="s">
        <v>2530</v>
      </c>
      <c r="D62" s="12" t="s">
        <v>1385</v>
      </c>
      <c r="E62" s="13" t="s">
        <v>2531</v>
      </c>
      <c r="F62" s="12" t="s">
        <v>2529</v>
      </c>
      <c r="G62" s="12" t="s">
        <v>1086</v>
      </c>
      <c r="H62" s="12"/>
      <c r="I62" s="12" t="s">
        <v>2350</v>
      </c>
      <c r="J62" s="12" t="n">
        <v>3</v>
      </c>
      <c r="K62" s="12" t="s">
        <v>2345</v>
      </c>
      <c r="L62" s="12" t="s">
        <v>2346</v>
      </c>
    </row>
    <row r="63" customFormat="false" ht="15" hidden="false" customHeight="false" outlineLevel="0" collapsed="false">
      <c r="A63" s="12" t="s">
        <v>2037</v>
      </c>
      <c r="B63" s="12" t="s">
        <v>1091</v>
      </c>
      <c r="C63" s="12" t="s">
        <v>1094</v>
      </c>
      <c r="D63" s="12" t="s">
        <v>1379</v>
      </c>
      <c r="E63" s="13" t="s">
        <v>2532</v>
      </c>
      <c r="F63" s="12" t="s">
        <v>2533</v>
      </c>
      <c r="G63" s="12" t="s">
        <v>1096</v>
      </c>
      <c r="H63" s="12"/>
      <c r="I63" s="12" t="s">
        <v>2534</v>
      </c>
      <c r="J63" s="12" t="n">
        <v>1</v>
      </c>
      <c r="K63" s="12" t="s">
        <v>2345</v>
      </c>
      <c r="L63" s="12" t="s">
        <v>2346</v>
      </c>
    </row>
    <row r="64" customFormat="false" ht="23.85" hidden="false" customHeight="false" outlineLevel="0" collapsed="false">
      <c r="A64" s="12" t="s">
        <v>2102</v>
      </c>
      <c r="B64" s="12" t="s">
        <v>2429</v>
      </c>
      <c r="C64" s="12" t="s">
        <v>2535</v>
      </c>
      <c r="D64" s="12" t="s">
        <v>1385</v>
      </c>
      <c r="E64" s="13" t="s">
        <v>2536</v>
      </c>
      <c r="F64" s="12" t="s">
        <v>2429</v>
      </c>
      <c r="G64" s="12" t="s">
        <v>1181</v>
      </c>
      <c r="H64" s="12"/>
      <c r="I64" s="12" t="s">
        <v>2350</v>
      </c>
      <c r="J64" s="12" t="n">
        <v>3</v>
      </c>
      <c r="K64" s="12" t="s">
        <v>2345</v>
      </c>
      <c r="L64" s="12" t="s">
        <v>2346</v>
      </c>
    </row>
    <row r="65" customFormat="false" ht="23.85" hidden="false" customHeight="false" outlineLevel="0" collapsed="false">
      <c r="A65" s="12" t="s">
        <v>2138</v>
      </c>
      <c r="B65" s="12" t="s">
        <v>815</v>
      </c>
      <c r="C65" s="12" t="s">
        <v>1224</v>
      </c>
      <c r="D65" s="12" t="s">
        <v>1385</v>
      </c>
      <c r="E65" s="13" t="s">
        <v>2537</v>
      </c>
      <c r="F65" s="12" t="s">
        <v>2538</v>
      </c>
      <c r="G65" s="12" t="s">
        <v>2539</v>
      </c>
      <c r="H65" s="12"/>
      <c r="I65" s="12" t="s">
        <v>2534</v>
      </c>
      <c r="J65" s="12" t="n">
        <v>1</v>
      </c>
      <c r="K65" s="12" t="s">
        <v>2345</v>
      </c>
      <c r="L65" s="12" t="s">
        <v>2346</v>
      </c>
    </row>
    <row r="66" customFormat="false" ht="15" hidden="false" customHeight="false" outlineLevel="0" collapsed="false">
      <c r="A66" s="12" t="s">
        <v>1726</v>
      </c>
      <c r="B66" s="12" t="s">
        <v>2540</v>
      </c>
      <c r="C66" s="12" t="s">
        <v>2541</v>
      </c>
      <c r="D66" s="12" t="s">
        <v>1379</v>
      </c>
      <c r="E66" s="13" t="s">
        <v>2542</v>
      </c>
      <c r="F66" s="12" t="s">
        <v>2540</v>
      </c>
      <c r="G66" s="12" t="s">
        <v>2543</v>
      </c>
      <c r="H66" s="12"/>
      <c r="I66" s="12" t="s">
        <v>2385</v>
      </c>
      <c r="J66" s="12" t="n">
        <v>2</v>
      </c>
      <c r="K66" s="12" t="s">
        <v>2345</v>
      </c>
      <c r="L66" s="12" t="s">
        <v>2346</v>
      </c>
    </row>
    <row r="67" customFormat="false" ht="15" hidden="false" customHeight="false" outlineLevel="0" collapsed="false">
      <c r="A67" s="12" t="s">
        <v>2544</v>
      </c>
      <c r="B67" s="12" t="s">
        <v>2545</v>
      </c>
      <c r="C67" s="12" t="s">
        <v>2546</v>
      </c>
      <c r="D67" s="12" t="s">
        <v>1385</v>
      </c>
      <c r="E67" s="13" t="s">
        <v>2547</v>
      </c>
      <c r="F67" s="12" t="s">
        <v>2545</v>
      </c>
      <c r="G67" s="12" t="s">
        <v>2548</v>
      </c>
      <c r="H67" s="12"/>
      <c r="I67" s="12" t="s">
        <v>2350</v>
      </c>
      <c r="J67" s="12" t="n">
        <v>3</v>
      </c>
      <c r="K67" s="12" t="s">
        <v>2345</v>
      </c>
      <c r="L67" s="12" t="s">
        <v>2346</v>
      </c>
    </row>
    <row r="68" customFormat="false" ht="23.85" hidden="false" customHeight="false" outlineLevel="0" collapsed="false">
      <c r="A68" s="12" t="s">
        <v>1718</v>
      </c>
      <c r="B68" s="12" t="s">
        <v>2549</v>
      </c>
      <c r="C68" s="12" t="s">
        <v>660</v>
      </c>
      <c r="D68" s="12" t="s">
        <v>1385</v>
      </c>
      <c r="E68" s="13" t="s">
        <v>2550</v>
      </c>
      <c r="F68" s="12" t="s">
        <v>2549</v>
      </c>
      <c r="G68" s="12" t="s">
        <v>664</v>
      </c>
      <c r="H68" s="12"/>
      <c r="I68" s="12" t="s">
        <v>2350</v>
      </c>
      <c r="J68" s="12" t="n">
        <v>3</v>
      </c>
      <c r="K68" s="12" t="s">
        <v>2345</v>
      </c>
      <c r="L68" s="12" t="s">
        <v>2346</v>
      </c>
    </row>
    <row r="69" customFormat="false" ht="23.85" hidden="false" customHeight="false" outlineLevel="0" collapsed="false">
      <c r="A69" s="12" t="s">
        <v>2045</v>
      </c>
      <c r="B69" s="12" t="s">
        <v>2551</v>
      </c>
      <c r="C69" s="12" t="s">
        <v>1108</v>
      </c>
      <c r="D69" s="12" t="s">
        <v>1385</v>
      </c>
      <c r="E69" s="13" t="s">
        <v>2552</v>
      </c>
      <c r="F69" s="12" t="s">
        <v>2551</v>
      </c>
      <c r="G69" s="12" t="s">
        <v>2553</v>
      </c>
      <c r="H69" s="12"/>
      <c r="I69" s="12" t="s">
        <v>2350</v>
      </c>
      <c r="J69" s="12" t="n">
        <v>3</v>
      </c>
      <c r="K69" s="12" t="s">
        <v>2345</v>
      </c>
      <c r="L69" s="12" t="s">
        <v>2346</v>
      </c>
    </row>
    <row r="70" customFormat="false" ht="15" hidden="false" customHeight="false" outlineLevel="0" collapsed="false">
      <c r="A70" s="12" t="s">
        <v>2056</v>
      </c>
      <c r="B70" s="12" t="s">
        <v>2551</v>
      </c>
      <c r="C70" s="12" t="s">
        <v>2554</v>
      </c>
      <c r="D70" s="12" t="s">
        <v>1385</v>
      </c>
      <c r="E70" s="13" t="s">
        <v>2555</v>
      </c>
      <c r="F70" s="12" t="s">
        <v>2551</v>
      </c>
      <c r="G70" s="12" t="s">
        <v>1119</v>
      </c>
      <c r="H70" s="12"/>
      <c r="I70" s="12" t="s">
        <v>2350</v>
      </c>
      <c r="J70" s="12" t="n">
        <v>3</v>
      </c>
      <c r="K70" s="12" t="s">
        <v>2345</v>
      </c>
      <c r="L70" s="12" t="s">
        <v>2346</v>
      </c>
    </row>
    <row r="71" customFormat="false" ht="15" hidden="false" customHeight="false" outlineLevel="0" collapsed="false">
      <c r="A71" s="12" t="s">
        <v>2556</v>
      </c>
      <c r="B71" s="12" t="s">
        <v>2540</v>
      </c>
      <c r="C71" s="12" t="s">
        <v>2557</v>
      </c>
      <c r="D71" s="12" t="s">
        <v>1385</v>
      </c>
      <c r="E71" s="13" t="s">
        <v>2558</v>
      </c>
      <c r="F71" s="12" t="s">
        <v>2540</v>
      </c>
      <c r="G71" s="12" t="s">
        <v>2559</v>
      </c>
      <c r="H71" s="12"/>
      <c r="I71" s="12" t="s">
        <v>2385</v>
      </c>
      <c r="J71" s="12" t="n">
        <v>2</v>
      </c>
      <c r="K71" s="12" t="s">
        <v>2345</v>
      </c>
      <c r="L71" s="12" t="s">
        <v>2346</v>
      </c>
    </row>
    <row r="72" customFormat="false" ht="15" hidden="false" customHeight="false" outlineLevel="0" collapsed="false">
      <c r="A72" s="12" t="s">
        <v>2121</v>
      </c>
      <c r="B72" s="12" t="s">
        <v>2364</v>
      </c>
      <c r="C72" s="12" t="s">
        <v>2560</v>
      </c>
      <c r="D72" s="12" t="s">
        <v>1385</v>
      </c>
      <c r="E72" s="13" t="s">
        <v>2561</v>
      </c>
      <c r="F72" s="12" t="s">
        <v>2364</v>
      </c>
      <c r="G72" s="12" t="s">
        <v>1205</v>
      </c>
      <c r="H72" s="12"/>
      <c r="I72" s="12" t="s">
        <v>2350</v>
      </c>
      <c r="J72" s="12" t="n">
        <v>3</v>
      </c>
      <c r="K72" s="12" t="s">
        <v>2345</v>
      </c>
      <c r="L72" s="12" t="s">
        <v>2346</v>
      </c>
    </row>
    <row r="73" customFormat="false" ht="23.85" hidden="false" customHeight="false" outlineLevel="0" collapsed="false">
      <c r="A73" s="12" t="s">
        <v>2128</v>
      </c>
      <c r="B73" s="12" t="s">
        <v>2562</v>
      </c>
      <c r="C73" s="12" t="s">
        <v>1213</v>
      </c>
      <c r="D73" s="12" t="s">
        <v>1385</v>
      </c>
      <c r="E73" s="13" t="s">
        <v>2563</v>
      </c>
      <c r="F73" s="12" t="s">
        <v>2562</v>
      </c>
      <c r="G73" s="12" t="s">
        <v>1214</v>
      </c>
      <c r="H73" s="12"/>
      <c r="I73" s="12" t="s">
        <v>2350</v>
      </c>
      <c r="J73" s="12" t="n">
        <v>3</v>
      </c>
      <c r="K73" s="12" t="s">
        <v>2345</v>
      </c>
      <c r="L73" s="12" t="s">
        <v>2346</v>
      </c>
    </row>
    <row r="74" customFormat="false" ht="15" hidden="false" customHeight="false" outlineLevel="0" collapsed="false">
      <c r="A74" s="12" t="s">
        <v>2107</v>
      </c>
      <c r="B74" s="12" t="s">
        <v>2364</v>
      </c>
      <c r="C74" s="12" t="s">
        <v>2564</v>
      </c>
      <c r="D74" s="12" t="s">
        <v>1385</v>
      </c>
      <c r="E74" s="13" t="s">
        <v>2565</v>
      </c>
      <c r="F74" s="12" t="s">
        <v>2364</v>
      </c>
      <c r="G74" s="12" t="s">
        <v>1191</v>
      </c>
      <c r="H74" s="12"/>
      <c r="I74" s="12" t="s">
        <v>2350</v>
      </c>
      <c r="J74" s="12" t="n">
        <v>3</v>
      </c>
      <c r="K74" s="12" t="s">
        <v>2345</v>
      </c>
      <c r="L74" s="12" t="s">
        <v>2346</v>
      </c>
    </row>
    <row r="75" customFormat="false" ht="15" hidden="false" customHeight="false" outlineLevel="0" collapsed="false">
      <c r="A75" s="12" t="s">
        <v>2566</v>
      </c>
      <c r="B75" s="12" t="s">
        <v>2429</v>
      </c>
      <c r="C75" s="12" t="s">
        <v>2567</v>
      </c>
      <c r="D75" s="12" t="s">
        <v>1385</v>
      </c>
      <c r="E75" s="13" t="s">
        <v>2568</v>
      </c>
      <c r="F75" s="12" t="s">
        <v>2429</v>
      </c>
      <c r="G75" s="12" t="s">
        <v>1146</v>
      </c>
      <c r="H75" s="12"/>
      <c r="I75" s="12" t="s">
        <v>2350</v>
      </c>
      <c r="J75" s="12" t="n">
        <v>3</v>
      </c>
      <c r="K75" s="12" t="s">
        <v>2345</v>
      </c>
      <c r="L75" s="12" t="s">
        <v>2346</v>
      </c>
    </row>
    <row r="76" customFormat="false" ht="23.85" hidden="false" customHeight="false" outlineLevel="0" collapsed="false">
      <c r="A76" s="12" t="s">
        <v>2569</v>
      </c>
      <c r="B76" s="12" t="s">
        <v>2400</v>
      </c>
      <c r="C76" s="12" t="s">
        <v>895</v>
      </c>
      <c r="D76" s="12" t="s">
        <v>1379</v>
      </c>
      <c r="E76" s="13" t="s">
        <v>2570</v>
      </c>
      <c r="F76" s="12" t="s">
        <v>2447</v>
      </c>
      <c r="G76" s="12" t="s">
        <v>1267</v>
      </c>
      <c r="H76" s="12"/>
      <c r="I76" s="12" t="s">
        <v>2344</v>
      </c>
      <c r="J76" s="12" t="n">
        <v>5</v>
      </c>
      <c r="K76" s="12" t="s">
        <v>2345</v>
      </c>
      <c r="L76" s="12" t="s">
        <v>2346</v>
      </c>
    </row>
    <row r="77" customFormat="false" ht="23.85" hidden="false" customHeight="false" outlineLevel="0" collapsed="false">
      <c r="A77" s="12" t="s">
        <v>2163</v>
      </c>
      <c r="B77" s="12" t="s">
        <v>2571</v>
      </c>
      <c r="C77" s="12" t="n">
        <v>2023</v>
      </c>
      <c r="D77" s="12" t="s">
        <v>1445</v>
      </c>
      <c r="E77" s="13" t="s">
        <v>2572</v>
      </c>
      <c r="F77" s="12" t="s">
        <v>2573</v>
      </c>
      <c r="G77" s="12" t="s">
        <v>2574</v>
      </c>
      <c r="H77" s="12"/>
      <c r="I77" s="12" t="s">
        <v>2350</v>
      </c>
      <c r="J77" s="12" t="n">
        <v>3</v>
      </c>
      <c r="K77" s="12" t="s">
        <v>2345</v>
      </c>
      <c r="L77" s="12" t="s">
        <v>2346</v>
      </c>
    </row>
    <row r="78" customFormat="false" ht="23.85" hidden="false" customHeight="false" outlineLevel="0" collapsed="false">
      <c r="A78" s="12" t="s">
        <v>2575</v>
      </c>
      <c r="B78" s="12" t="s">
        <v>2576</v>
      </c>
      <c r="C78" s="12" t="s">
        <v>2577</v>
      </c>
      <c r="D78" s="12" t="s">
        <v>1385</v>
      </c>
      <c r="E78" s="13" t="s">
        <v>2578</v>
      </c>
      <c r="F78" s="12" t="s">
        <v>2343</v>
      </c>
      <c r="G78" s="12" t="s">
        <v>298</v>
      </c>
      <c r="H78" s="12"/>
      <c r="I78" s="12" t="s">
        <v>2344</v>
      </c>
      <c r="J78" s="12" t="n">
        <v>5</v>
      </c>
      <c r="K78" s="12" t="s">
        <v>2345</v>
      </c>
      <c r="L78" s="12" t="s">
        <v>2346</v>
      </c>
    </row>
    <row r="79" customFormat="false" ht="23.85" hidden="false" customHeight="false" outlineLevel="0" collapsed="false">
      <c r="A79" s="12" t="s">
        <v>1465</v>
      </c>
      <c r="B79" s="12" t="s">
        <v>2579</v>
      </c>
      <c r="C79" s="12" t="s">
        <v>294</v>
      </c>
      <c r="D79" s="12" t="s">
        <v>1385</v>
      </c>
      <c r="E79" s="13" t="s">
        <v>2580</v>
      </c>
      <c r="F79" s="12" t="s">
        <v>2581</v>
      </c>
      <c r="G79" s="12" t="s">
        <v>2582</v>
      </c>
      <c r="H79" s="12"/>
      <c r="I79" s="12" t="s">
        <v>2350</v>
      </c>
      <c r="J79" s="12" t="n">
        <v>3</v>
      </c>
      <c r="K79" s="12" t="s">
        <v>2345</v>
      </c>
      <c r="L79" s="12" t="s">
        <v>2346</v>
      </c>
    </row>
    <row r="80" customFormat="false" ht="15" hidden="false" customHeight="false" outlineLevel="0" collapsed="false">
      <c r="A80" s="12" t="s">
        <v>2179</v>
      </c>
      <c r="B80" s="12" t="s">
        <v>2583</v>
      </c>
      <c r="C80" s="12" t="s">
        <v>1212</v>
      </c>
      <c r="D80" s="12" t="s">
        <v>1385</v>
      </c>
      <c r="E80" s="13" t="s">
        <v>2584</v>
      </c>
      <c r="F80" s="12" t="s">
        <v>2585</v>
      </c>
      <c r="G80" s="12" t="s">
        <v>1288</v>
      </c>
      <c r="H80" s="12"/>
      <c r="I80" s="12" t="s">
        <v>2385</v>
      </c>
      <c r="J80" s="12" t="n">
        <v>1</v>
      </c>
      <c r="K80" s="12" t="s">
        <v>2345</v>
      </c>
      <c r="L80" s="12" t="s">
        <v>2346</v>
      </c>
    </row>
    <row r="81" customFormat="false" ht="23.85" hidden="false" customHeight="false" outlineLevel="0" collapsed="false">
      <c r="A81" s="12" t="s">
        <v>1475</v>
      </c>
      <c r="B81" s="12" t="s">
        <v>2586</v>
      </c>
      <c r="C81" s="12" t="s">
        <v>322</v>
      </c>
      <c r="D81" s="12" t="s">
        <v>1385</v>
      </c>
      <c r="E81" s="13" t="s">
        <v>2587</v>
      </c>
      <c r="F81" s="12" t="s">
        <v>2343</v>
      </c>
      <c r="G81" s="12" t="s">
        <v>324</v>
      </c>
      <c r="H81" s="12"/>
      <c r="I81" s="12" t="s">
        <v>2344</v>
      </c>
      <c r="J81" s="12" t="n">
        <v>5</v>
      </c>
      <c r="K81" s="12" t="s">
        <v>2345</v>
      </c>
      <c r="L81" s="12" t="s">
        <v>2346</v>
      </c>
    </row>
    <row r="82" customFormat="false" ht="23.85" hidden="false" customHeight="false" outlineLevel="0" collapsed="false">
      <c r="A82" s="12" t="s">
        <v>1657</v>
      </c>
      <c r="B82" s="12" t="s">
        <v>2588</v>
      </c>
      <c r="C82" s="12" t="s">
        <v>2589</v>
      </c>
      <c r="D82" s="12" t="s">
        <v>1385</v>
      </c>
      <c r="E82" s="13" t="s">
        <v>2590</v>
      </c>
      <c r="F82" s="12" t="s">
        <v>2588</v>
      </c>
      <c r="G82" s="12" t="s">
        <v>2591</v>
      </c>
      <c r="H82" s="12"/>
      <c r="I82" s="12" t="s">
        <v>2350</v>
      </c>
      <c r="J82" s="12" t="n">
        <v>3</v>
      </c>
      <c r="K82" s="12" t="s">
        <v>2345</v>
      </c>
      <c r="L82" s="12" t="s">
        <v>2346</v>
      </c>
    </row>
    <row r="83" customFormat="false" ht="23.85" hidden="false" customHeight="false" outlineLevel="0" collapsed="false">
      <c r="A83" s="12" t="s">
        <v>1548</v>
      </c>
      <c r="B83" s="12" t="s">
        <v>2592</v>
      </c>
      <c r="C83" s="12" t="s">
        <v>427</v>
      </c>
      <c r="D83" s="12" t="s">
        <v>1385</v>
      </c>
      <c r="E83" s="13" t="s">
        <v>2593</v>
      </c>
      <c r="F83" s="12" t="s">
        <v>2349</v>
      </c>
      <c r="G83" s="12" t="s">
        <v>2594</v>
      </c>
      <c r="H83" s="12"/>
      <c r="I83" s="12" t="s">
        <v>2350</v>
      </c>
      <c r="J83" s="12" t="n">
        <v>3</v>
      </c>
      <c r="K83" s="12" t="s">
        <v>2345</v>
      </c>
      <c r="L83" s="12" t="s">
        <v>2346</v>
      </c>
    </row>
    <row r="84" customFormat="false" ht="15" hidden="false" customHeight="false" outlineLevel="0" collapsed="false">
      <c r="A84" s="12" t="s">
        <v>1529</v>
      </c>
      <c r="B84" s="12" t="s">
        <v>2595</v>
      </c>
      <c r="C84" s="12" t="s">
        <v>416</v>
      </c>
      <c r="D84" s="12" t="s">
        <v>1385</v>
      </c>
      <c r="E84" s="13" t="s">
        <v>2596</v>
      </c>
      <c r="F84" s="12" t="s">
        <v>2595</v>
      </c>
      <c r="G84" s="12" t="s">
        <v>2597</v>
      </c>
      <c r="H84" s="12"/>
      <c r="I84" s="12" t="s">
        <v>2350</v>
      </c>
      <c r="J84" s="12" t="n">
        <v>2</v>
      </c>
      <c r="K84" s="12" t="s">
        <v>2345</v>
      </c>
      <c r="L84" s="12" t="s">
        <v>2346</v>
      </c>
    </row>
    <row r="85" customFormat="false" ht="15" hidden="false" customHeight="false" outlineLevel="0" collapsed="false">
      <c r="A85" s="12" t="s">
        <v>2598</v>
      </c>
      <c r="B85" s="12" t="s">
        <v>2477</v>
      </c>
      <c r="C85" s="12" t="s">
        <v>2599</v>
      </c>
      <c r="D85" s="12" t="s">
        <v>1385</v>
      </c>
      <c r="E85" s="13" t="s">
        <v>2600</v>
      </c>
      <c r="F85" s="12" t="s">
        <v>2477</v>
      </c>
      <c r="G85" s="12" t="s">
        <v>2601</v>
      </c>
      <c r="H85" s="12"/>
      <c r="I85" s="12" t="s">
        <v>2350</v>
      </c>
      <c r="J85" s="12" t="n">
        <v>2</v>
      </c>
      <c r="K85" s="12" t="s">
        <v>2345</v>
      </c>
      <c r="L85" s="12" t="s">
        <v>2346</v>
      </c>
    </row>
    <row r="86" customFormat="false" ht="23.85" hidden="false" customHeight="false" outlineLevel="0" collapsed="false">
      <c r="A86" s="12" t="s">
        <v>2602</v>
      </c>
      <c r="B86" s="12" t="s">
        <v>2410</v>
      </c>
      <c r="C86" s="12" t="s">
        <v>2603</v>
      </c>
      <c r="D86" s="12" t="s">
        <v>1385</v>
      </c>
      <c r="E86" s="13" t="s">
        <v>2604</v>
      </c>
      <c r="F86" s="12" t="s">
        <v>2410</v>
      </c>
      <c r="G86" s="12" t="s">
        <v>2605</v>
      </c>
      <c r="H86" s="12"/>
      <c r="I86" s="12" t="s">
        <v>2350</v>
      </c>
      <c r="J86" s="12" t="n">
        <v>3</v>
      </c>
      <c r="K86" s="12" t="s">
        <v>2345</v>
      </c>
      <c r="L86" s="12" t="s">
        <v>2346</v>
      </c>
    </row>
    <row r="87" customFormat="false" ht="15" hidden="false" customHeight="false" outlineLevel="0" collapsed="false">
      <c r="A87" s="12" t="s">
        <v>2606</v>
      </c>
      <c r="B87" s="12" t="s">
        <v>2607</v>
      </c>
      <c r="C87" s="12" t="s">
        <v>2608</v>
      </c>
      <c r="D87" s="12" t="s">
        <v>1385</v>
      </c>
      <c r="E87" s="13" t="s">
        <v>2609</v>
      </c>
      <c r="F87" s="12" t="s">
        <v>2610</v>
      </c>
      <c r="G87" s="12" t="s">
        <v>2611</v>
      </c>
      <c r="H87" s="12"/>
      <c r="I87" s="12" t="s">
        <v>2385</v>
      </c>
      <c r="J87" s="12" t="n">
        <v>2</v>
      </c>
      <c r="K87" s="12" t="s">
        <v>2345</v>
      </c>
      <c r="L87" s="12" t="s">
        <v>2346</v>
      </c>
    </row>
    <row r="88" customFormat="false" ht="35.05" hidden="false" customHeight="false" outlineLevel="0" collapsed="false">
      <c r="A88" s="12" t="s">
        <v>2612</v>
      </c>
      <c r="B88" s="12" t="s">
        <v>2613</v>
      </c>
      <c r="C88" s="12" t="s">
        <v>373</v>
      </c>
      <c r="D88" s="12" t="s">
        <v>1385</v>
      </c>
      <c r="E88" s="13" t="s">
        <v>2614</v>
      </c>
      <c r="F88" s="12" t="s">
        <v>2615</v>
      </c>
      <c r="G88" s="12" t="s">
        <v>2616</v>
      </c>
      <c r="H88" s="12"/>
      <c r="I88" s="12" t="s">
        <v>2534</v>
      </c>
      <c r="J88" s="12" t="n">
        <v>1</v>
      </c>
      <c r="K88" s="12" t="s">
        <v>2345</v>
      </c>
      <c r="L88" s="12" t="s">
        <v>2346</v>
      </c>
    </row>
    <row r="89" customFormat="false" ht="15" hidden="false" customHeight="false" outlineLevel="0" collapsed="false">
      <c r="A89" s="12" t="s">
        <v>1537</v>
      </c>
      <c r="B89" s="12" t="s">
        <v>2477</v>
      </c>
      <c r="C89" s="12" t="n">
        <v>2024</v>
      </c>
      <c r="D89" s="12" t="s">
        <v>1445</v>
      </c>
      <c r="E89" s="13" t="s">
        <v>2617</v>
      </c>
      <c r="F89" s="12" t="s">
        <v>2477</v>
      </c>
      <c r="G89" s="12" t="s">
        <v>1226</v>
      </c>
      <c r="H89" s="12"/>
      <c r="I89" s="12" t="s">
        <v>2350</v>
      </c>
      <c r="J89" s="12" t="n">
        <v>2</v>
      </c>
      <c r="K89" s="12" t="s">
        <v>2345</v>
      </c>
      <c r="L89" s="12" t="s">
        <v>2346</v>
      </c>
    </row>
    <row r="90" customFormat="false" ht="15" hidden="false" customHeight="false" outlineLevel="0" collapsed="false">
      <c r="A90" s="12" t="s">
        <v>1589</v>
      </c>
      <c r="B90" s="12" t="s">
        <v>2618</v>
      </c>
      <c r="C90" s="12" t="s">
        <v>487</v>
      </c>
      <c r="D90" s="12" t="s">
        <v>1385</v>
      </c>
      <c r="E90" s="13" t="s">
        <v>2619</v>
      </c>
      <c r="F90" s="12" t="s">
        <v>2620</v>
      </c>
      <c r="G90" s="12" t="s">
        <v>489</v>
      </c>
      <c r="H90" s="12"/>
      <c r="I90" s="12" t="s">
        <v>2344</v>
      </c>
      <c r="J90" s="12" t="n">
        <v>4</v>
      </c>
      <c r="K90" s="12" t="s">
        <v>2345</v>
      </c>
      <c r="L90" s="12" t="s">
        <v>2346</v>
      </c>
    </row>
    <row r="91" customFormat="false" ht="23.85" hidden="false" customHeight="false" outlineLevel="0" collapsed="false">
      <c r="A91" s="12" t="s">
        <v>2621</v>
      </c>
      <c r="B91" s="12" t="s">
        <v>2622</v>
      </c>
      <c r="C91" s="12" t="s">
        <v>2623</v>
      </c>
      <c r="D91" s="12" t="s">
        <v>1379</v>
      </c>
      <c r="E91" s="13" t="s">
        <v>2624</v>
      </c>
      <c r="F91" s="12" t="s">
        <v>2622</v>
      </c>
      <c r="G91" s="12" t="s">
        <v>2625</v>
      </c>
      <c r="H91" s="12"/>
      <c r="I91" s="12" t="s">
        <v>2350</v>
      </c>
      <c r="J91" s="12" t="n">
        <v>3</v>
      </c>
      <c r="K91" s="12" t="s">
        <v>2345</v>
      </c>
      <c r="L91" s="12" t="s">
        <v>2346</v>
      </c>
    </row>
    <row r="92" customFormat="false" ht="23.85" hidden="false" customHeight="false" outlineLevel="0" collapsed="false">
      <c r="A92" s="12" t="s">
        <v>2626</v>
      </c>
      <c r="B92" s="12" t="s">
        <v>2607</v>
      </c>
      <c r="C92" s="12" t="s">
        <v>2627</v>
      </c>
      <c r="D92" s="12" t="s">
        <v>1385</v>
      </c>
      <c r="E92" s="13" t="s">
        <v>2628</v>
      </c>
      <c r="F92" s="12" t="s">
        <v>2610</v>
      </c>
      <c r="G92" s="12" t="s">
        <v>2629</v>
      </c>
      <c r="H92" s="12"/>
      <c r="I92" s="12" t="s">
        <v>2385</v>
      </c>
      <c r="J92" s="12" t="n">
        <v>2</v>
      </c>
      <c r="K92" s="12" t="s">
        <v>2345</v>
      </c>
      <c r="L92" s="12" t="s">
        <v>2346</v>
      </c>
    </row>
    <row r="93" customFormat="false" ht="23.85" hidden="false" customHeight="false" outlineLevel="0" collapsed="false">
      <c r="A93" s="12" t="s">
        <v>2630</v>
      </c>
      <c r="B93" s="12" t="s">
        <v>2631</v>
      </c>
      <c r="C93" s="12" t="s">
        <v>497</v>
      </c>
      <c r="D93" s="12" t="s">
        <v>1385</v>
      </c>
      <c r="E93" s="13" t="s">
        <v>2632</v>
      </c>
      <c r="F93" s="12" t="s">
        <v>2633</v>
      </c>
      <c r="G93" s="12" t="s">
        <v>502</v>
      </c>
      <c r="H93" s="12"/>
      <c r="I93" s="12" t="s">
        <v>2344</v>
      </c>
      <c r="J93" s="12" t="n">
        <v>4</v>
      </c>
      <c r="K93" s="12" t="s">
        <v>2345</v>
      </c>
      <c r="L93" s="12" t="s">
        <v>2346</v>
      </c>
    </row>
    <row r="94" customFormat="false" ht="23.85" hidden="false" customHeight="false" outlineLevel="0" collapsed="false">
      <c r="A94" s="12" t="s">
        <v>1634</v>
      </c>
      <c r="B94" s="12" t="s">
        <v>2634</v>
      </c>
      <c r="C94" s="12" t="s">
        <v>541</v>
      </c>
      <c r="D94" s="12" t="s">
        <v>1379</v>
      </c>
      <c r="E94" s="13" t="s">
        <v>2635</v>
      </c>
      <c r="F94" s="12" t="s">
        <v>2636</v>
      </c>
      <c r="G94" s="12"/>
      <c r="H94" s="12" t="s">
        <v>2637</v>
      </c>
      <c r="I94" s="12" t="s">
        <v>2385</v>
      </c>
      <c r="J94" s="12" t="n">
        <v>2</v>
      </c>
      <c r="K94" s="12" t="s">
        <v>2345</v>
      </c>
      <c r="L94" s="12" t="s">
        <v>2346</v>
      </c>
    </row>
    <row r="95" customFormat="false" ht="15" hidden="false" customHeight="false" outlineLevel="0" collapsed="false">
      <c r="A95" s="12" t="s">
        <v>2638</v>
      </c>
      <c r="B95" s="12" t="s">
        <v>2639</v>
      </c>
      <c r="C95" s="12" t="s">
        <v>541</v>
      </c>
      <c r="D95" s="12" t="s">
        <v>1379</v>
      </c>
      <c r="E95" s="13" t="s">
        <v>2640</v>
      </c>
      <c r="F95" s="12" t="s">
        <v>2641</v>
      </c>
      <c r="G95" s="12"/>
      <c r="H95" s="12" t="s">
        <v>2637</v>
      </c>
      <c r="I95" s="12" t="s">
        <v>2385</v>
      </c>
      <c r="J95" s="12" t="n">
        <v>2</v>
      </c>
      <c r="K95" s="12" t="s">
        <v>2345</v>
      </c>
      <c r="L95" s="12" t="s">
        <v>2346</v>
      </c>
    </row>
    <row r="96" customFormat="false" ht="23.85" hidden="false" customHeight="false" outlineLevel="0" collapsed="false">
      <c r="A96" s="12" t="s">
        <v>2642</v>
      </c>
      <c r="B96" s="12" t="s">
        <v>2643</v>
      </c>
      <c r="C96" s="12"/>
      <c r="D96" s="12"/>
      <c r="E96" s="13" t="s">
        <v>2644</v>
      </c>
      <c r="F96" s="12" t="s">
        <v>2343</v>
      </c>
      <c r="G96" s="12" t="s">
        <v>1283</v>
      </c>
      <c r="H96" s="12"/>
      <c r="I96" s="12" t="s">
        <v>2344</v>
      </c>
      <c r="J96" s="12" t="n">
        <v>5</v>
      </c>
      <c r="K96" s="12" t="s">
        <v>2345</v>
      </c>
      <c r="L96" s="12" t="s">
        <v>2346</v>
      </c>
    </row>
    <row r="97" customFormat="false" ht="23.85" hidden="false" customHeight="false" outlineLevel="0" collapsed="false">
      <c r="A97" s="12" t="s">
        <v>2645</v>
      </c>
      <c r="B97" s="12" t="s">
        <v>2643</v>
      </c>
      <c r="C97" s="12"/>
      <c r="D97" s="12"/>
      <c r="E97" s="13" t="s">
        <v>2646</v>
      </c>
      <c r="F97" s="12" t="s">
        <v>2343</v>
      </c>
      <c r="G97" s="12" t="s">
        <v>1155</v>
      </c>
      <c r="H97" s="12"/>
      <c r="I97" s="12" t="s">
        <v>2344</v>
      </c>
      <c r="J97" s="12" t="n">
        <v>5</v>
      </c>
      <c r="K97" s="12" t="s">
        <v>2345</v>
      </c>
      <c r="L97" s="12" t="s">
        <v>2346</v>
      </c>
    </row>
    <row r="98" customFormat="false" ht="23.85" hidden="false" customHeight="false" outlineLevel="0" collapsed="false">
      <c r="A98" s="12" t="s">
        <v>2647</v>
      </c>
      <c r="B98" s="12" t="s">
        <v>2643</v>
      </c>
      <c r="C98" s="12"/>
      <c r="D98" s="12"/>
      <c r="E98" s="13" t="s">
        <v>2648</v>
      </c>
      <c r="F98" s="12" t="s">
        <v>2343</v>
      </c>
      <c r="G98" s="12" t="s">
        <v>1164</v>
      </c>
      <c r="H98" s="12"/>
      <c r="I98" s="12" t="s">
        <v>2344</v>
      </c>
      <c r="J98" s="12" t="n">
        <v>5</v>
      </c>
      <c r="K98" s="12" t="s">
        <v>2345</v>
      </c>
      <c r="L98" s="12" t="s">
        <v>2346</v>
      </c>
    </row>
    <row r="99" customFormat="false" ht="23.85" hidden="false" customHeight="false" outlineLevel="0" collapsed="false">
      <c r="A99" s="12" t="s">
        <v>1402</v>
      </c>
      <c r="B99" s="12" t="s">
        <v>2341</v>
      </c>
      <c r="C99" s="12" t="s">
        <v>207</v>
      </c>
      <c r="D99" s="12" t="s">
        <v>1385</v>
      </c>
      <c r="E99" s="13" t="s">
        <v>2649</v>
      </c>
      <c r="F99" s="12" t="s">
        <v>2343</v>
      </c>
      <c r="G99" s="12" t="s">
        <v>2650</v>
      </c>
      <c r="H99" s="12"/>
      <c r="I99" s="12" t="s">
        <v>2344</v>
      </c>
      <c r="J99" s="12" t="n">
        <v>4</v>
      </c>
      <c r="K99" s="12" t="s">
        <v>2345</v>
      </c>
      <c r="L99" s="12" t="s">
        <v>2346</v>
      </c>
    </row>
    <row r="100" customFormat="false" ht="15" hidden="false" customHeight="false" outlineLevel="0" collapsed="false">
      <c r="A100" s="12" t="s">
        <v>1640</v>
      </c>
      <c r="B100" s="12" t="s">
        <v>2442</v>
      </c>
      <c r="C100" s="12" t="s">
        <v>558</v>
      </c>
      <c r="D100" s="12" t="s">
        <v>1385</v>
      </c>
      <c r="E100" s="13" t="s">
        <v>2651</v>
      </c>
      <c r="F100" s="12" t="s">
        <v>2442</v>
      </c>
      <c r="G100" s="12" t="s">
        <v>561</v>
      </c>
      <c r="H100" s="12"/>
      <c r="I100" s="12" t="s">
        <v>2350</v>
      </c>
      <c r="J100" s="12" t="n">
        <v>2</v>
      </c>
      <c r="K100" s="12" t="s">
        <v>2345</v>
      </c>
      <c r="L100" s="12" t="s">
        <v>2346</v>
      </c>
    </row>
    <row r="101" customFormat="false" ht="23.85" hidden="false" customHeight="false" outlineLevel="0" collapsed="false">
      <c r="A101" s="12" t="s">
        <v>1977</v>
      </c>
      <c r="B101" s="12" t="s">
        <v>2429</v>
      </c>
      <c r="C101" s="12" t="s">
        <v>989</v>
      </c>
      <c r="D101" s="12" t="s">
        <v>1379</v>
      </c>
      <c r="E101" s="13" t="s">
        <v>2652</v>
      </c>
      <c r="F101" s="12" t="s">
        <v>2429</v>
      </c>
      <c r="G101" s="12" t="s">
        <v>2653</v>
      </c>
      <c r="H101" s="12"/>
      <c r="I101" s="12" t="s">
        <v>2350</v>
      </c>
      <c r="J101" s="12" t="n">
        <v>3</v>
      </c>
      <c r="K101" s="12" t="s">
        <v>2345</v>
      </c>
      <c r="L101" s="12" t="s">
        <v>2346</v>
      </c>
    </row>
    <row r="102" customFormat="false" ht="15" hidden="false" customHeight="false" outlineLevel="0" collapsed="false">
      <c r="A102" s="12" t="s">
        <v>2654</v>
      </c>
      <c r="B102" s="12" t="s">
        <v>2655</v>
      </c>
      <c r="C102" s="12" t="n">
        <v>2021</v>
      </c>
      <c r="D102" s="12" t="s">
        <v>1445</v>
      </c>
      <c r="E102" s="13" t="s">
        <v>2656</v>
      </c>
      <c r="F102" s="12" t="s">
        <v>2657</v>
      </c>
      <c r="G102" s="12" t="s">
        <v>991</v>
      </c>
      <c r="H102" s="12"/>
      <c r="I102" s="12" t="s">
        <v>2344</v>
      </c>
      <c r="J102" s="12" t="n">
        <v>4</v>
      </c>
      <c r="K102" s="12" t="s">
        <v>2345</v>
      </c>
      <c r="L102" s="12" t="s">
        <v>2346</v>
      </c>
    </row>
    <row r="103" customFormat="false" ht="15" hidden="false" customHeight="false" outlineLevel="0" collapsed="false">
      <c r="A103" s="12" t="s">
        <v>1983</v>
      </c>
      <c r="B103" s="12" t="s">
        <v>2364</v>
      </c>
      <c r="C103" s="12" t="s">
        <v>999</v>
      </c>
      <c r="D103" s="12" t="s">
        <v>1385</v>
      </c>
      <c r="E103" s="13" t="s">
        <v>2658</v>
      </c>
      <c r="F103" s="12" t="s">
        <v>2364</v>
      </c>
      <c r="G103" s="12" t="s">
        <v>1003</v>
      </c>
      <c r="H103" s="12"/>
      <c r="I103" s="12" t="s">
        <v>2350</v>
      </c>
      <c r="J103" s="12" t="n">
        <v>3</v>
      </c>
      <c r="K103" s="12" t="s">
        <v>2345</v>
      </c>
      <c r="L103" s="12" t="s">
        <v>2346</v>
      </c>
    </row>
    <row r="104" customFormat="false" ht="23.85" hidden="false" customHeight="false" outlineLevel="0" collapsed="false">
      <c r="A104" s="12" t="s">
        <v>2659</v>
      </c>
      <c r="B104" s="12" t="s">
        <v>2660</v>
      </c>
      <c r="C104" s="12" t="s">
        <v>2661</v>
      </c>
      <c r="D104" s="12" t="s">
        <v>1385</v>
      </c>
      <c r="E104" s="13" t="s">
        <v>2662</v>
      </c>
      <c r="F104" s="12" t="s">
        <v>2663</v>
      </c>
      <c r="G104" s="12" t="s">
        <v>2664</v>
      </c>
      <c r="H104" s="12"/>
      <c r="I104" s="12" t="s">
        <v>2350</v>
      </c>
      <c r="J104" s="12" t="n">
        <v>3</v>
      </c>
      <c r="K104" s="12" t="s">
        <v>2345</v>
      </c>
      <c r="L104" s="12" t="s">
        <v>2346</v>
      </c>
    </row>
    <row r="105" customFormat="false" ht="15" hidden="false" customHeight="false" outlineLevel="0" collapsed="false">
      <c r="A105" s="12" t="s">
        <v>2665</v>
      </c>
      <c r="B105" s="12" t="s">
        <v>2477</v>
      </c>
      <c r="C105" s="12" t="s">
        <v>2666</v>
      </c>
      <c r="D105" s="12" t="s">
        <v>1385</v>
      </c>
      <c r="E105" s="13" t="s">
        <v>2667</v>
      </c>
      <c r="F105" s="12" t="s">
        <v>2477</v>
      </c>
      <c r="G105" s="12" t="s">
        <v>2668</v>
      </c>
      <c r="H105" s="12"/>
      <c r="I105" s="12" t="s">
        <v>2350</v>
      </c>
      <c r="J105" s="12" t="n">
        <v>2</v>
      </c>
      <c r="K105" s="12" t="s">
        <v>2345</v>
      </c>
      <c r="L105" s="12" t="s">
        <v>2346</v>
      </c>
    </row>
    <row r="106" customFormat="false" ht="23.85" hidden="false" customHeight="false" outlineLevel="0" collapsed="false">
      <c r="A106" s="12" t="s">
        <v>2669</v>
      </c>
      <c r="B106" s="12" t="s">
        <v>2670</v>
      </c>
      <c r="C106" s="12" t="s">
        <v>511</v>
      </c>
      <c r="D106" s="12" t="s">
        <v>1385</v>
      </c>
      <c r="E106" s="13" t="s">
        <v>2671</v>
      </c>
      <c r="F106" s="12" t="s">
        <v>2670</v>
      </c>
      <c r="G106" s="12" t="s">
        <v>2672</v>
      </c>
      <c r="H106" s="12"/>
      <c r="I106" s="12" t="s">
        <v>2350</v>
      </c>
      <c r="J106" s="12" t="n">
        <v>2</v>
      </c>
      <c r="K106" s="12" t="s">
        <v>2345</v>
      </c>
      <c r="L106" s="12" t="s">
        <v>2346</v>
      </c>
    </row>
    <row r="107" customFormat="false" ht="23.85" hidden="false" customHeight="false" outlineLevel="0" collapsed="false">
      <c r="A107" s="12" t="s">
        <v>2673</v>
      </c>
      <c r="B107" s="12" t="s">
        <v>2674</v>
      </c>
      <c r="C107" s="12" t="s">
        <v>2675</v>
      </c>
      <c r="D107" s="12" t="s">
        <v>1385</v>
      </c>
      <c r="E107" s="13" t="s">
        <v>2676</v>
      </c>
      <c r="F107" s="12" t="s">
        <v>2677</v>
      </c>
      <c r="G107" s="12" t="s">
        <v>2678</v>
      </c>
      <c r="H107" s="12"/>
      <c r="I107" s="12" t="s">
        <v>2350</v>
      </c>
      <c r="J107" s="12" t="n">
        <v>3</v>
      </c>
      <c r="K107" s="12" t="s">
        <v>2345</v>
      </c>
      <c r="L107" s="12" t="s">
        <v>2346</v>
      </c>
    </row>
    <row r="108" customFormat="false" ht="15" hidden="false" customHeight="false" outlineLevel="0" collapsed="false">
      <c r="A108" s="12" t="s">
        <v>2679</v>
      </c>
      <c r="B108" s="12" t="s">
        <v>2364</v>
      </c>
      <c r="C108" s="12" t="s">
        <v>528</v>
      </c>
      <c r="D108" s="12" t="s">
        <v>1385</v>
      </c>
      <c r="E108" s="13" t="s">
        <v>2680</v>
      </c>
      <c r="F108" s="12" t="s">
        <v>2364</v>
      </c>
      <c r="G108" s="12" t="s">
        <v>2681</v>
      </c>
      <c r="H108" s="12"/>
      <c r="I108" s="12" t="s">
        <v>2350</v>
      </c>
      <c r="J108" s="12" t="n">
        <v>3</v>
      </c>
      <c r="K108" s="12" t="s">
        <v>2345</v>
      </c>
      <c r="L108" s="12" t="s">
        <v>2346</v>
      </c>
    </row>
    <row r="109" customFormat="false" ht="15" hidden="false" customHeight="false" outlineLevel="0" collapsed="false">
      <c r="A109" s="12" t="s">
        <v>2682</v>
      </c>
      <c r="B109" s="12" t="s">
        <v>2683</v>
      </c>
      <c r="C109" s="12"/>
      <c r="D109" s="12"/>
      <c r="E109" s="13" t="s">
        <v>2684</v>
      </c>
      <c r="F109" s="12" t="s">
        <v>2685</v>
      </c>
      <c r="G109" s="12" t="s">
        <v>2686</v>
      </c>
      <c r="H109" s="12"/>
      <c r="I109" s="12" t="s">
        <v>2534</v>
      </c>
      <c r="J109" s="12" t="n">
        <v>1</v>
      </c>
      <c r="K109" s="12" t="s">
        <v>2345</v>
      </c>
      <c r="L109" s="12" t="s">
        <v>2346</v>
      </c>
    </row>
    <row r="110" customFormat="false" ht="23.85" hidden="false" customHeight="false" outlineLevel="0" collapsed="false">
      <c r="A110" s="12" t="s">
        <v>1628</v>
      </c>
      <c r="B110" s="12" t="s">
        <v>2687</v>
      </c>
      <c r="C110" s="12" t="s">
        <v>543</v>
      </c>
      <c r="D110" s="12" t="s">
        <v>1385</v>
      </c>
      <c r="E110" s="13" t="s">
        <v>2688</v>
      </c>
      <c r="F110" s="12" t="s">
        <v>2689</v>
      </c>
      <c r="G110" s="12" t="s">
        <v>545</v>
      </c>
      <c r="H110" s="12"/>
      <c r="I110" s="12" t="s">
        <v>2344</v>
      </c>
      <c r="J110" s="12" t="n">
        <v>4</v>
      </c>
      <c r="K110" s="12" t="s">
        <v>2345</v>
      </c>
      <c r="L110" s="12" t="s">
        <v>2346</v>
      </c>
    </row>
    <row r="111" customFormat="false" ht="23.85" hidden="false" customHeight="false" outlineLevel="0" collapsed="false">
      <c r="A111" s="12" t="s">
        <v>1878</v>
      </c>
      <c r="B111" s="12" t="s">
        <v>1083</v>
      </c>
      <c r="C111" s="12" t="s">
        <v>875</v>
      </c>
      <c r="D111" s="12" t="s">
        <v>1385</v>
      </c>
      <c r="E111" s="13" t="s">
        <v>2690</v>
      </c>
      <c r="F111" s="12" t="s">
        <v>1083</v>
      </c>
      <c r="G111" s="12" t="s">
        <v>877</v>
      </c>
      <c r="H111" s="12"/>
      <c r="I111" s="12" t="s">
        <v>2344</v>
      </c>
      <c r="J111" s="12" t="n">
        <v>4</v>
      </c>
      <c r="K111" s="12" t="s">
        <v>2345</v>
      </c>
      <c r="L111" s="12" t="s">
        <v>2346</v>
      </c>
    </row>
    <row r="112" customFormat="false" ht="15" hidden="false" customHeight="false" outlineLevel="0" collapsed="false">
      <c r="A112" s="12" t="s">
        <v>2691</v>
      </c>
      <c r="B112" s="12" t="s">
        <v>2692</v>
      </c>
      <c r="C112" s="12"/>
      <c r="D112" s="12"/>
      <c r="E112" s="13" t="s">
        <v>2693</v>
      </c>
      <c r="F112" s="12" t="s">
        <v>2694</v>
      </c>
      <c r="G112" s="12" t="s">
        <v>2695</v>
      </c>
      <c r="H112" s="12"/>
      <c r="I112" s="12" t="s">
        <v>2344</v>
      </c>
      <c r="J112" s="12" t="n">
        <v>4</v>
      </c>
      <c r="K112" s="12" t="s">
        <v>2345</v>
      </c>
      <c r="L112" s="12" t="s">
        <v>2346</v>
      </c>
    </row>
    <row r="113" customFormat="false" ht="23.85" hidden="false" customHeight="false" outlineLevel="0" collapsed="false">
      <c r="A113" s="12" t="s">
        <v>2696</v>
      </c>
      <c r="B113" s="12" t="s">
        <v>1332</v>
      </c>
      <c r="C113" s="12"/>
      <c r="D113" s="12"/>
      <c r="E113" s="13" t="s">
        <v>2697</v>
      </c>
      <c r="F113" s="12" t="s">
        <v>2698</v>
      </c>
      <c r="G113" s="12" t="s">
        <v>2699</v>
      </c>
      <c r="H113" s="12"/>
      <c r="I113" s="12" t="s">
        <v>2534</v>
      </c>
      <c r="J113" s="12" t="n">
        <v>1</v>
      </c>
      <c r="K113" s="12" t="s">
        <v>2345</v>
      </c>
      <c r="L113" s="12" t="s">
        <v>2346</v>
      </c>
    </row>
    <row r="114" customFormat="false" ht="35.05" hidden="false" customHeight="false" outlineLevel="0" collapsed="false">
      <c r="A114" s="12" t="s">
        <v>1390</v>
      </c>
      <c r="B114" s="12" t="s">
        <v>2398</v>
      </c>
      <c r="C114" s="12" t="s">
        <v>164</v>
      </c>
      <c r="D114" s="12" t="s">
        <v>1385</v>
      </c>
      <c r="E114" s="13" t="s">
        <v>2700</v>
      </c>
      <c r="F114" s="12" t="s">
        <v>2701</v>
      </c>
      <c r="G114" s="12" t="s">
        <v>173</v>
      </c>
      <c r="H114" s="12"/>
      <c r="I114" s="12" t="s">
        <v>2344</v>
      </c>
      <c r="J114" s="12" t="n">
        <v>5</v>
      </c>
      <c r="K114" s="12" t="s">
        <v>2345</v>
      </c>
      <c r="L114" s="12" t="s">
        <v>2346</v>
      </c>
    </row>
    <row r="115" customFormat="false" ht="15" hidden="false" customHeight="false" outlineLevel="0" collapsed="false">
      <c r="A115" s="12" t="s">
        <v>2702</v>
      </c>
      <c r="B115" s="12" t="s">
        <v>2398</v>
      </c>
      <c r="C115" s="12"/>
      <c r="D115" s="12"/>
      <c r="E115" s="13" t="s">
        <v>2703</v>
      </c>
      <c r="F115" s="12" t="s">
        <v>2701</v>
      </c>
      <c r="G115" s="12" t="s">
        <v>2704</v>
      </c>
      <c r="H115" s="12"/>
      <c r="I115" s="12" t="s">
        <v>2344</v>
      </c>
      <c r="J115" s="12" t="n">
        <v>5</v>
      </c>
      <c r="K115" s="12" t="s">
        <v>2345</v>
      </c>
      <c r="L115" s="12" t="s">
        <v>2346</v>
      </c>
    </row>
    <row r="116" customFormat="false" ht="15" hidden="false" customHeight="false" outlineLevel="0" collapsed="false">
      <c r="A116" s="12" t="s">
        <v>2705</v>
      </c>
      <c r="B116" s="12" t="s">
        <v>2398</v>
      </c>
      <c r="C116" s="12"/>
      <c r="D116" s="12"/>
      <c r="E116" s="13" t="s">
        <v>2706</v>
      </c>
      <c r="F116" s="12" t="s">
        <v>2701</v>
      </c>
      <c r="G116" s="12" t="s">
        <v>2707</v>
      </c>
      <c r="H116" s="12"/>
      <c r="I116" s="12" t="s">
        <v>2344</v>
      </c>
      <c r="J116" s="12" t="n">
        <v>5</v>
      </c>
      <c r="K116" s="12" t="s">
        <v>2345</v>
      </c>
      <c r="L116" s="12" t="s">
        <v>2346</v>
      </c>
    </row>
    <row r="117" customFormat="false" ht="15" hidden="false" customHeight="false" outlineLevel="0" collapsed="false">
      <c r="A117" s="12" t="s">
        <v>2708</v>
      </c>
      <c r="B117" s="12" t="s">
        <v>2398</v>
      </c>
      <c r="C117" s="12"/>
      <c r="D117" s="12"/>
      <c r="E117" s="13" t="s">
        <v>2709</v>
      </c>
      <c r="F117" s="12" t="s">
        <v>2701</v>
      </c>
      <c r="G117" s="12" t="s">
        <v>478</v>
      </c>
      <c r="H117" s="12"/>
      <c r="I117" s="12" t="s">
        <v>2344</v>
      </c>
      <c r="J117" s="12" t="n">
        <v>4</v>
      </c>
      <c r="K117" s="12" t="s">
        <v>2345</v>
      </c>
      <c r="L117" s="12" t="s">
        <v>2346</v>
      </c>
    </row>
    <row r="118" customFormat="false" ht="15" hidden="false" customHeight="false" outlineLevel="0" collapsed="false">
      <c r="A118" s="12" t="s">
        <v>1834</v>
      </c>
      <c r="B118" s="12" t="s">
        <v>2398</v>
      </c>
      <c r="C118" s="12"/>
      <c r="D118" s="12"/>
      <c r="E118" s="13" t="s">
        <v>2710</v>
      </c>
      <c r="F118" s="12" t="s">
        <v>2701</v>
      </c>
      <c r="G118" s="12" t="s">
        <v>2711</v>
      </c>
      <c r="H118" s="12"/>
      <c r="I118" s="12" t="s">
        <v>2344</v>
      </c>
      <c r="J118" s="12" t="n">
        <v>5</v>
      </c>
      <c r="K118" s="12" t="s">
        <v>2345</v>
      </c>
      <c r="L118" s="12" t="s">
        <v>2346</v>
      </c>
    </row>
    <row r="119" customFormat="false" ht="15" hidden="false" customHeight="false" outlineLevel="0" collapsed="false">
      <c r="A119" s="12" t="s">
        <v>2712</v>
      </c>
      <c r="B119" s="12" t="s">
        <v>2398</v>
      </c>
      <c r="C119" s="12"/>
      <c r="D119" s="12"/>
      <c r="E119" s="13" t="s">
        <v>2713</v>
      </c>
      <c r="F119" s="12" t="s">
        <v>2701</v>
      </c>
      <c r="G119" s="12" t="s">
        <v>2714</v>
      </c>
      <c r="H119" s="12"/>
      <c r="I119" s="12" t="s">
        <v>2344</v>
      </c>
      <c r="J119" s="12" t="n">
        <v>5</v>
      </c>
      <c r="K119" s="12" t="s">
        <v>2345</v>
      </c>
      <c r="L119" s="12" t="s">
        <v>2346</v>
      </c>
    </row>
    <row r="120" customFormat="false" ht="15" hidden="false" customHeight="false" outlineLevel="0" collapsed="false">
      <c r="A120" s="12" t="s">
        <v>2715</v>
      </c>
      <c r="B120" s="12" t="s">
        <v>2398</v>
      </c>
      <c r="C120" s="12"/>
      <c r="D120" s="12"/>
      <c r="E120" s="13" t="s">
        <v>2716</v>
      </c>
      <c r="F120" s="12" t="s">
        <v>2701</v>
      </c>
      <c r="G120" s="12" t="s">
        <v>2717</v>
      </c>
      <c r="H120" s="12"/>
      <c r="I120" s="12" t="s">
        <v>2344</v>
      </c>
      <c r="J120" s="12" t="n">
        <v>4</v>
      </c>
      <c r="K120" s="12" t="s">
        <v>2345</v>
      </c>
      <c r="L120" s="12" t="s">
        <v>2346</v>
      </c>
    </row>
    <row r="121" customFormat="false" ht="15" hidden="false" customHeight="false" outlineLevel="0" collapsed="false">
      <c r="A121" s="12" t="s">
        <v>2718</v>
      </c>
      <c r="B121" s="12" t="s">
        <v>2398</v>
      </c>
      <c r="C121" s="12"/>
      <c r="D121" s="12"/>
      <c r="E121" s="13" t="s">
        <v>2719</v>
      </c>
      <c r="F121" s="12" t="s">
        <v>2701</v>
      </c>
      <c r="G121" s="12" t="s">
        <v>2720</v>
      </c>
      <c r="H121" s="12"/>
      <c r="I121" s="12" t="s">
        <v>2344</v>
      </c>
      <c r="J121" s="12" t="n">
        <v>5</v>
      </c>
      <c r="K121" s="12" t="s">
        <v>2345</v>
      </c>
      <c r="L121" s="12" t="s">
        <v>2346</v>
      </c>
    </row>
    <row r="122" customFormat="false" ht="15" hidden="false" customHeight="false" outlineLevel="0" collapsed="false">
      <c r="A122" s="12" t="s">
        <v>2721</v>
      </c>
      <c r="B122" s="12" t="s">
        <v>2398</v>
      </c>
      <c r="C122" s="12"/>
      <c r="D122" s="12"/>
      <c r="E122" s="13" t="s">
        <v>2722</v>
      </c>
      <c r="F122" s="12" t="s">
        <v>2701</v>
      </c>
      <c r="G122" s="12" t="s">
        <v>2723</v>
      </c>
      <c r="H122" s="12"/>
      <c r="I122" s="12" t="s">
        <v>2344</v>
      </c>
      <c r="J122" s="12" t="n">
        <v>4</v>
      </c>
      <c r="K122" s="12" t="s">
        <v>2345</v>
      </c>
      <c r="L122" s="12" t="s">
        <v>2346</v>
      </c>
    </row>
    <row r="123" customFormat="false" ht="15" hidden="false" customHeight="false" outlineLevel="0" collapsed="false">
      <c r="A123" s="12" t="s">
        <v>2724</v>
      </c>
      <c r="B123" s="12" t="s">
        <v>2398</v>
      </c>
      <c r="C123" s="12"/>
      <c r="D123" s="12"/>
      <c r="E123" s="13" t="s">
        <v>2725</v>
      </c>
      <c r="F123" s="12" t="s">
        <v>2701</v>
      </c>
      <c r="G123" s="12" t="s">
        <v>2726</v>
      </c>
      <c r="H123" s="12"/>
      <c r="I123" s="12" t="s">
        <v>2344</v>
      </c>
      <c r="J123" s="12" t="n">
        <v>5</v>
      </c>
      <c r="K123" s="12" t="s">
        <v>2345</v>
      </c>
      <c r="L123" s="12" t="s">
        <v>2346</v>
      </c>
    </row>
    <row r="124" customFormat="false" ht="23.85" hidden="false" customHeight="false" outlineLevel="0" collapsed="false">
      <c r="A124" s="12" t="s">
        <v>1940</v>
      </c>
      <c r="B124" s="12" t="s">
        <v>2404</v>
      </c>
      <c r="C124" s="12" t="s">
        <v>1322</v>
      </c>
      <c r="D124" s="12" t="s">
        <v>1385</v>
      </c>
      <c r="E124" s="13" t="s">
        <v>2727</v>
      </c>
      <c r="F124" s="12" t="s">
        <v>2404</v>
      </c>
      <c r="G124" s="12" t="s">
        <v>1326</v>
      </c>
      <c r="H124" s="12"/>
      <c r="I124" s="12" t="s">
        <v>2350</v>
      </c>
      <c r="J124" s="12" t="n">
        <v>3</v>
      </c>
      <c r="K124" s="12" t="s">
        <v>2345</v>
      </c>
      <c r="L124" s="12" t="s">
        <v>2346</v>
      </c>
    </row>
    <row r="125" customFormat="false" ht="15" hidden="false" customHeight="false" outlineLevel="0" collapsed="false">
      <c r="A125" s="12" t="s">
        <v>1943</v>
      </c>
      <c r="B125" s="12" t="s">
        <v>2442</v>
      </c>
      <c r="C125" s="12" t="s">
        <v>961</v>
      </c>
      <c r="D125" s="12" t="s">
        <v>1385</v>
      </c>
      <c r="E125" s="13" t="s">
        <v>2728</v>
      </c>
      <c r="F125" s="12" t="s">
        <v>2442</v>
      </c>
      <c r="G125" s="12" t="s">
        <v>2729</v>
      </c>
      <c r="H125" s="12"/>
      <c r="I125" s="12" t="s">
        <v>2350</v>
      </c>
      <c r="J125" s="12" t="n">
        <v>2</v>
      </c>
      <c r="K125" s="12" t="s">
        <v>2345</v>
      </c>
      <c r="L125" s="12" t="s">
        <v>2346</v>
      </c>
    </row>
    <row r="126" customFormat="false" ht="23.85" hidden="false" customHeight="false" outlineLevel="0" collapsed="false">
      <c r="A126" s="12" t="s">
        <v>2112</v>
      </c>
      <c r="B126" s="12" t="s">
        <v>2730</v>
      </c>
      <c r="C126" s="12" t="s">
        <v>1344</v>
      </c>
      <c r="D126" s="12" t="s">
        <v>1379</v>
      </c>
      <c r="E126" s="13" t="s">
        <v>2731</v>
      </c>
      <c r="F126" s="12" t="s">
        <v>2730</v>
      </c>
      <c r="G126" s="12" t="s">
        <v>1345</v>
      </c>
      <c r="H126" s="12"/>
      <c r="I126" s="12" t="s">
        <v>2350</v>
      </c>
      <c r="J126" s="12" t="n">
        <v>3</v>
      </c>
      <c r="K126" s="12" t="s">
        <v>2345</v>
      </c>
      <c r="L126" s="12" t="s">
        <v>2346</v>
      </c>
    </row>
    <row r="127" customFormat="false" ht="23.85" hidden="false" customHeight="false" outlineLevel="0" collapsed="false">
      <c r="A127" s="12" t="s">
        <v>2732</v>
      </c>
      <c r="B127" s="12" t="s">
        <v>2733</v>
      </c>
      <c r="C127" s="12" t="s">
        <v>2734</v>
      </c>
      <c r="D127" s="12" t="s">
        <v>1385</v>
      </c>
      <c r="E127" s="13" t="s">
        <v>2735</v>
      </c>
      <c r="F127" s="12" t="s">
        <v>2733</v>
      </c>
      <c r="G127" s="12" t="s">
        <v>2736</v>
      </c>
      <c r="H127" s="12"/>
      <c r="I127" s="12" t="s">
        <v>2350</v>
      </c>
      <c r="J127" s="12" t="n">
        <v>3</v>
      </c>
      <c r="K127" s="12" t="s">
        <v>2345</v>
      </c>
      <c r="L127" s="12" t="s">
        <v>2346</v>
      </c>
    </row>
    <row r="128" customFormat="false" ht="35.05" hidden="false" customHeight="false" outlineLevel="0" collapsed="false">
      <c r="A128" s="12" t="s">
        <v>1676</v>
      </c>
      <c r="B128" s="12" t="s">
        <v>2737</v>
      </c>
      <c r="C128" s="12" t="s">
        <v>597</v>
      </c>
      <c r="D128" s="12" t="s">
        <v>1385</v>
      </c>
      <c r="E128" s="13" t="s">
        <v>2738</v>
      </c>
      <c r="F128" s="12" t="s">
        <v>2343</v>
      </c>
      <c r="G128" s="12" t="s">
        <v>600</v>
      </c>
      <c r="H128" s="12"/>
      <c r="I128" s="12" t="s">
        <v>2344</v>
      </c>
      <c r="J128" s="12" t="n">
        <v>4</v>
      </c>
      <c r="K128" s="12" t="s">
        <v>2345</v>
      </c>
      <c r="L128" s="12" t="s">
        <v>2346</v>
      </c>
    </row>
    <row r="129" customFormat="false" ht="23.85" hidden="false" customHeight="false" outlineLevel="0" collapsed="false">
      <c r="A129" s="12" t="s">
        <v>1748</v>
      </c>
      <c r="B129" s="12" t="s">
        <v>2739</v>
      </c>
      <c r="C129" s="12" t="s">
        <v>670</v>
      </c>
      <c r="D129" s="12" t="s">
        <v>1379</v>
      </c>
      <c r="E129" s="13" t="s">
        <v>2740</v>
      </c>
      <c r="F129" s="12" t="s">
        <v>2741</v>
      </c>
      <c r="G129" s="12" t="s">
        <v>706</v>
      </c>
      <c r="H129" s="12"/>
      <c r="I129" s="12" t="s">
        <v>2344</v>
      </c>
      <c r="J129" s="12" t="n">
        <v>4</v>
      </c>
      <c r="K129" s="12" t="s">
        <v>2345</v>
      </c>
      <c r="L129" s="12" t="s">
        <v>2346</v>
      </c>
    </row>
    <row r="130" customFormat="false" ht="23.85" hidden="false" customHeight="false" outlineLevel="0" collapsed="false">
      <c r="A130" s="12" t="s">
        <v>2742</v>
      </c>
      <c r="B130" s="12" t="s">
        <v>2743</v>
      </c>
      <c r="C130" s="12" t="s">
        <v>2744</v>
      </c>
      <c r="D130" s="12" t="s">
        <v>1385</v>
      </c>
      <c r="E130" s="13" t="s">
        <v>2745</v>
      </c>
      <c r="F130" s="12" t="s">
        <v>2743</v>
      </c>
      <c r="G130" s="12" t="s">
        <v>2746</v>
      </c>
      <c r="H130" s="12"/>
      <c r="I130" s="12" t="s">
        <v>2350</v>
      </c>
      <c r="J130" s="12" t="n">
        <v>3</v>
      </c>
      <c r="K130" s="12" t="s">
        <v>2345</v>
      </c>
      <c r="L130" s="12" t="s">
        <v>2346</v>
      </c>
    </row>
    <row r="131" customFormat="false" ht="35.05" hidden="false" customHeight="false" outlineLevel="0" collapsed="false">
      <c r="A131" s="12" t="s">
        <v>1595</v>
      </c>
      <c r="B131" s="12" t="s">
        <v>2747</v>
      </c>
      <c r="C131" s="12" t="s">
        <v>497</v>
      </c>
      <c r="D131" s="12" t="s">
        <v>1385</v>
      </c>
      <c r="E131" s="13" t="s">
        <v>2748</v>
      </c>
      <c r="F131" s="12" t="s">
        <v>2747</v>
      </c>
      <c r="G131" s="12" t="s">
        <v>2749</v>
      </c>
      <c r="H131" s="12"/>
      <c r="I131" s="12" t="s">
        <v>2350</v>
      </c>
      <c r="J131" s="12" t="n">
        <v>3</v>
      </c>
      <c r="K131" s="12" t="s">
        <v>2345</v>
      </c>
      <c r="L131" s="12" t="s">
        <v>2346</v>
      </c>
    </row>
    <row r="132" customFormat="false" ht="15" hidden="false" customHeight="false" outlineLevel="0" collapsed="false">
      <c r="A132" s="12" t="s">
        <v>2750</v>
      </c>
      <c r="B132" s="12" t="s">
        <v>2663</v>
      </c>
      <c r="C132" s="12" t="n">
        <v>2026</v>
      </c>
      <c r="D132" s="12" t="s">
        <v>1445</v>
      </c>
      <c r="E132" s="13" t="s">
        <v>2751</v>
      </c>
      <c r="F132" s="12" t="s">
        <v>2663</v>
      </c>
      <c r="G132" s="12" t="s">
        <v>2752</v>
      </c>
      <c r="H132" s="12"/>
      <c r="I132" s="12" t="s">
        <v>2350</v>
      </c>
      <c r="J132" s="12" t="n">
        <v>3</v>
      </c>
      <c r="K132" s="12" t="s">
        <v>2345</v>
      </c>
      <c r="L132" s="12" t="s">
        <v>2346</v>
      </c>
    </row>
    <row r="133" customFormat="false" ht="23.85" hidden="false" customHeight="false" outlineLevel="0" collapsed="false">
      <c r="A133" s="12" t="s">
        <v>1432</v>
      </c>
      <c r="B133" s="12" t="s">
        <v>2398</v>
      </c>
      <c r="C133" s="12" t="s">
        <v>248</v>
      </c>
      <c r="D133" s="12" t="s">
        <v>1385</v>
      </c>
      <c r="E133" s="13" t="s">
        <v>2753</v>
      </c>
      <c r="F133" s="12" t="s">
        <v>2701</v>
      </c>
      <c r="G133" s="12" t="s">
        <v>2754</v>
      </c>
      <c r="H133" s="12"/>
      <c r="I133" s="12" t="s">
        <v>2344</v>
      </c>
      <c r="J133" s="12" t="n">
        <v>5</v>
      </c>
      <c r="K133" s="12" t="s">
        <v>174</v>
      </c>
      <c r="L133" s="12" t="s">
        <v>2755</v>
      </c>
    </row>
    <row r="134" customFormat="false" ht="23.85" hidden="false" customHeight="false" outlineLevel="0" collapsed="false">
      <c r="A134" s="12" t="s">
        <v>1822</v>
      </c>
      <c r="B134" s="12" t="s">
        <v>2398</v>
      </c>
      <c r="C134" s="12" t="s">
        <v>653</v>
      </c>
      <c r="D134" s="12" t="s">
        <v>1385</v>
      </c>
      <c r="E134" s="13" t="s">
        <v>2756</v>
      </c>
      <c r="F134" s="12" t="s">
        <v>2757</v>
      </c>
      <c r="G134" s="12" t="s">
        <v>2758</v>
      </c>
      <c r="H134" s="12"/>
      <c r="I134" s="12" t="s">
        <v>2344</v>
      </c>
      <c r="J134" s="12" t="n">
        <v>5</v>
      </c>
      <c r="K134" s="12" t="s">
        <v>174</v>
      </c>
      <c r="L134" s="12" t="s">
        <v>2755</v>
      </c>
    </row>
    <row r="135" customFormat="false" ht="15" hidden="false" customHeight="false" outlineLevel="0" collapsed="false">
      <c r="A135" s="12" t="s">
        <v>2759</v>
      </c>
      <c r="B135" s="12" t="s">
        <v>2429</v>
      </c>
      <c r="C135" s="12" t="s">
        <v>2760</v>
      </c>
      <c r="D135" s="12" t="s">
        <v>1385</v>
      </c>
      <c r="E135" s="13" t="s">
        <v>2761</v>
      </c>
      <c r="F135" s="12" t="s">
        <v>2429</v>
      </c>
      <c r="G135" s="12" t="s">
        <v>2762</v>
      </c>
      <c r="H135" s="12"/>
      <c r="I135" s="12" t="s">
        <v>2350</v>
      </c>
      <c r="J135" s="12" t="n">
        <v>3</v>
      </c>
      <c r="K135" s="12" t="s">
        <v>174</v>
      </c>
      <c r="L135" s="12" t="s">
        <v>2755</v>
      </c>
    </row>
    <row r="136" customFormat="false" ht="15" hidden="false" customHeight="false" outlineLevel="0" collapsed="false">
      <c r="A136" s="12" t="s">
        <v>2763</v>
      </c>
      <c r="B136" s="12" t="s">
        <v>2341</v>
      </c>
      <c r="C136" s="12" t="s">
        <v>2764</v>
      </c>
      <c r="D136" s="12" t="s">
        <v>1385</v>
      </c>
      <c r="E136" s="13" t="s">
        <v>2765</v>
      </c>
      <c r="F136" s="12" t="s">
        <v>2341</v>
      </c>
      <c r="G136" s="12" t="s">
        <v>2766</v>
      </c>
      <c r="H136" s="12"/>
      <c r="I136" s="12" t="s">
        <v>2344</v>
      </c>
      <c r="J136" s="12" t="n">
        <v>4</v>
      </c>
      <c r="K136" s="12" t="s">
        <v>174</v>
      </c>
      <c r="L136" s="12" t="s">
        <v>2755</v>
      </c>
    </row>
    <row r="137" customFormat="false" ht="15" hidden="false" customHeight="false" outlineLevel="0" collapsed="false">
      <c r="A137" s="12" t="s">
        <v>2767</v>
      </c>
      <c r="B137" s="12" t="s">
        <v>2768</v>
      </c>
      <c r="C137" s="12" t="n">
        <v>2026</v>
      </c>
      <c r="D137" s="12" t="s">
        <v>1445</v>
      </c>
      <c r="E137" s="13" t="s">
        <v>2769</v>
      </c>
      <c r="F137" s="12" t="s">
        <v>2768</v>
      </c>
      <c r="G137" s="12" t="s">
        <v>2770</v>
      </c>
      <c r="H137" s="12"/>
      <c r="I137" s="12" t="s">
        <v>2344</v>
      </c>
      <c r="J137" s="12" t="n">
        <v>4</v>
      </c>
      <c r="K137" s="12" t="s">
        <v>174</v>
      </c>
      <c r="L137" s="12" t="s">
        <v>2755</v>
      </c>
    </row>
    <row r="138" customFormat="false" ht="15" hidden="false" customHeight="false" outlineLevel="0" collapsed="false">
      <c r="A138" s="12" t="s">
        <v>2771</v>
      </c>
      <c r="B138" s="12" t="s">
        <v>2768</v>
      </c>
      <c r="C138" s="12"/>
      <c r="D138" s="12"/>
      <c r="E138" s="13" t="s">
        <v>2772</v>
      </c>
      <c r="F138" s="12" t="s">
        <v>2768</v>
      </c>
      <c r="G138" s="12" t="s">
        <v>2773</v>
      </c>
      <c r="H138" s="12"/>
      <c r="I138" s="12" t="s">
        <v>2344</v>
      </c>
      <c r="J138" s="12" t="n">
        <v>4</v>
      </c>
      <c r="K138" s="12" t="s">
        <v>174</v>
      </c>
      <c r="L138" s="12" t="s">
        <v>2755</v>
      </c>
    </row>
    <row r="139" customFormat="false" ht="23.85" hidden="false" customHeight="false" outlineLevel="0" collapsed="false">
      <c r="A139" s="12" t="s">
        <v>2774</v>
      </c>
      <c r="B139" s="12" t="s">
        <v>2354</v>
      </c>
      <c r="C139" s="12" t="s">
        <v>2775</v>
      </c>
      <c r="D139" s="12" t="s">
        <v>1385</v>
      </c>
      <c r="E139" s="13" t="s">
        <v>2776</v>
      </c>
      <c r="F139" s="12" t="s">
        <v>2354</v>
      </c>
      <c r="G139" s="12" t="s">
        <v>2777</v>
      </c>
      <c r="H139" s="12"/>
      <c r="I139" s="12" t="s">
        <v>2350</v>
      </c>
      <c r="J139" s="12" t="n">
        <v>2</v>
      </c>
      <c r="K139" s="12" t="s">
        <v>174</v>
      </c>
      <c r="L139" s="12" t="s">
        <v>2755</v>
      </c>
    </row>
    <row r="140" customFormat="false" ht="15" hidden="false" customHeight="false" outlineLevel="0" collapsed="false">
      <c r="A140" s="12" t="s">
        <v>2778</v>
      </c>
      <c r="B140" s="12" t="s">
        <v>2779</v>
      </c>
      <c r="C140" s="12" t="s">
        <v>2780</v>
      </c>
      <c r="D140" s="12" t="s">
        <v>1385</v>
      </c>
      <c r="E140" s="13" t="s">
        <v>2781</v>
      </c>
      <c r="F140" s="12" t="s">
        <v>2779</v>
      </c>
      <c r="G140" s="12" t="s">
        <v>2782</v>
      </c>
      <c r="H140" s="12"/>
      <c r="I140" s="12" t="s">
        <v>2385</v>
      </c>
      <c r="J140" s="12" t="n">
        <v>2</v>
      </c>
      <c r="K140" s="12" t="s">
        <v>174</v>
      </c>
      <c r="L140" s="12" t="s">
        <v>2755</v>
      </c>
    </row>
    <row r="141" customFormat="false" ht="15" hidden="false" customHeight="false" outlineLevel="0" collapsed="false">
      <c r="A141" s="12" t="s">
        <v>2783</v>
      </c>
      <c r="B141" s="12" t="s">
        <v>2784</v>
      </c>
      <c r="C141" s="12" t="s">
        <v>2785</v>
      </c>
      <c r="D141" s="12" t="s">
        <v>1385</v>
      </c>
      <c r="E141" s="13" t="s">
        <v>2786</v>
      </c>
      <c r="F141" s="12" t="s">
        <v>2784</v>
      </c>
      <c r="G141" s="12" t="s">
        <v>2787</v>
      </c>
      <c r="H141" s="12"/>
      <c r="I141" s="12" t="s">
        <v>2350</v>
      </c>
      <c r="J141" s="12" t="n">
        <v>3</v>
      </c>
      <c r="K141" s="12" t="s">
        <v>174</v>
      </c>
      <c r="L141" s="12" t="s">
        <v>2755</v>
      </c>
    </row>
    <row r="142" customFormat="false" ht="15" hidden="false" customHeight="false" outlineLevel="0" collapsed="false">
      <c r="A142" s="12" t="s">
        <v>1407</v>
      </c>
      <c r="B142" s="12" t="s">
        <v>2788</v>
      </c>
      <c r="C142" s="12" t="s">
        <v>218</v>
      </c>
      <c r="D142" s="12" t="s">
        <v>1385</v>
      </c>
      <c r="E142" s="13" t="s">
        <v>2789</v>
      </c>
      <c r="F142" s="12" t="s">
        <v>2788</v>
      </c>
      <c r="G142" s="12" t="s">
        <v>2790</v>
      </c>
      <c r="H142" s="12"/>
      <c r="I142" s="12" t="s">
        <v>2350</v>
      </c>
      <c r="J142" s="12" t="n">
        <v>3</v>
      </c>
      <c r="K142" s="12" t="s">
        <v>174</v>
      </c>
      <c r="L142" s="12" t="s">
        <v>2755</v>
      </c>
    </row>
    <row r="143" customFormat="false" ht="15" hidden="false" customHeight="false" outlineLevel="0" collapsed="false">
      <c r="A143" s="12" t="s">
        <v>1410</v>
      </c>
      <c r="B143" s="12" t="s">
        <v>2791</v>
      </c>
      <c r="C143" s="12" t="s">
        <v>2792</v>
      </c>
      <c r="D143" s="12" t="s">
        <v>1385</v>
      </c>
      <c r="E143" s="13" t="s">
        <v>2793</v>
      </c>
      <c r="F143" s="12" t="s">
        <v>2791</v>
      </c>
      <c r="G143" s="12" t="s">
        <v>2794</v>
      </c>
      <c r="H143" s="12"/>
      <c r="I143" s="12" t="s">
        <v>2350</v>
      </c>
      <c r="J143" s="12" t="n">
        <v>3</v>
      </c>
      <c r="K143" s="12" t="s">
        <v>174</v>
      </c>
      <c r="L143" s="12" t="s">
        <v>2755</v>
      </c>
    </row>
    <row r="144" customFormat="false" ht="15" hidden="false" customHeight="false" outlineLevel="0" collapsed="false">
      <c r="A144" s="12" t="s">
        <v>2209</v>
      </c>
      <c r="B144" s="12" t="s">
        <v>2400</v>
      </c>
      <c r="C144" s="12" t="s">
        <v>2795</v>
      </c>
      <c r="D144" s="12" t="s">
        <v>1385</v>
      </c>
      <c r="E144" s="13" t="s">
        <v>2796</v>
      </c>
      <c r="F144" s="12" t="s">
        <v>2400</v>
      </c>
      <c r="G144" s="12" t="s">
        <v>2797</v>
      </c>
      <c r="H144" s="12"/>
      <c r="I144" s="12" t="s">
        <v>2344</v>
      </c>
      <c r="J144" s="12" t="n">
        <v>4</v>
      </c>
      <c r="K144" s="12" t="s">
        <v>174</v>
      </c>
      <c r="L144" s="12" t="s">
        <v>2755</v>
      </c>
    </row>
    <row r="145" customFormat="false" ht="15" hidden="false" customHeight="false" outlineLevel="0" collapsed="false">
      <c r="A145" s="12" t="s">
        <v>2798</v>
      </c>
      <c r="B145" s="12" t="s">
        <v>2398</v>
      </c>
      <c r="C145" s="12"/>
      <c r="D145" s="12"/>
      <c r="E145" s="13" t="s">
        <v>2799</v>
      </c>
      <c r="F145" s="12" t="s">
        <v>2398</v>
      </c>
      <c r="G145" s="12" t="s">
        <v>2800</v>
      </c>
      <c r="H145" s="12"/>
      <c r="I145" s="12" t="s">
        <v>2344</v>
      </c>
      <c r="J145" s="12" t="n">
        <v>4</v>
      </c>
      <c r="K145" s="12" t="s">
        <v>174</v>
      </c>
      <c r="L145" s="12" t="s">
        <v>2755</v>
      </c>
    </row>
    <row r="146" customFormat="false" ht="15" hidden="false" customHeight="false" outlineLevel="0" collapsed="false">
      <c r="A146" s="12" t="s">
        <v>2801</v>
      </c>
      <c r="B146" s="12" t="s">
        <v>2398</v>
      </c>
      <c r="C146" s="12"/>
      <c r="D146" s="12"/>
      <c r="E146" s="13" t="s">
        <v>2802</v>
      </c>
      <c r="F146" s="12" t="s">
        <v>2398</v>
      </c>
      <c r="G146" s="12" t="s">
        <v>2803</v>
      </c>
      <c r="H146" s="12"/>
      <c r="I146" s="12" t="s">
        <v>2344</v>
      </c>
      <c r="J146" s="12" t="n">
        <v>4</v>
      </c>
      <c r="K146" s="12" t="s">
        <v>174</v>
      </c>
      <c r="L146" s="12" t="s">
        <v>2755</v>
      </c>
    </row>
    <row r="147" customFormat="false" ht="15" hidden="false" customHeight="false" outlineLevel="0" collapsed="false">
      <c r="A147" s="12" t="s">
        <v>2804</v>
      </c>
      <c r="B147" s="12" t="s">
        <v>2398</v>
      </c>
      <c r="C147" s="12"/>
      <c r="D147" s="12"/>
      <c r="E147" s="13" t="s">
        <v>2805</v>
      </c>
      <c r="F147" s="12" t="s">
        <v>2398</v>
      </c>
      <c r="G147" s="12" t="s">
        <v>2806</v>
      </c>
      <c r="H147" s="12"/>
      <c r="I147" s="12" t="s">
        <v>2344</v>
      </c>
      <c r="J147" s="12" t="n">
        <v>4</v>
      </c>
      <c r="K147" s="12" t="s">
        <v>174</v>
      </c>
      <c r="L147" s="12" t="s">
        <v>2755</v>
      </c>
    </row>
    <row r="148" customFormat="false" ht="15" hidden="false" customHeight="false" outlineLevel="0" collapsed="false">
      <c r="A148" s="12" t="s">
        <v>1486</v>
      </c>
      <c r="B148" s="12" t="s">
        <v>2807</v>
      </c>
      <c r="C148" s="12" t="s">
        <v>334</v>
      </c>
      <c r="D148" s="12" t="s">
        <v>1385</v>
      </c>
      <c r="E148" s="13" t="s">
        <v>2808</v>
      </c>
      <c r="F148" s="12" t="s">
        <v>2807</v>
      </c>
      <c r="G148" s="12" t="s">
        <v>339</v>
      </c>
      <c r="H148" s="12"/>
      <c r="I148" s="12" t="s">
        <v>2344</v>
      </c>
      <c r="J148" s="12" t="n">
        <v>4</v>
      </c>
      <c r="K148" s="12" t="s">
        <v>174</v>
      </c>
      <c r="L148" s="12" t="s">
        <v>2755</v>
      </c>
    </row>
    <row r="149" customFormat="false" ht="23.85" hidden="false" customHeight="false" outlineLevel="0" collapsed="false">
      <c r="A149" s="12" t="s">
        <v>1483</v>
      </c>
      <c r="B149" s="12" t="s">
        <v>2809</v>
      </c>
      <c r="C149" s="12" t="s">
        <v>335</v>
      </c>
      <c r="D149" s="12" t="s">
        <v>1385</v>
      </c>
      <c r="E149" s="13" t="s">
        <v>2810</v>
      </c>
      <c r="F149" s="12" t="s">
        <v>2809</v>
      </c>
      <c r="G149" s="12" t="s">
        <v>2811</v>
      </c>
      <c r="H149" s="12"/>
      <c r="I149" s="12" t="s">
        <v>2344</v>
      </c>
      <c r="J149" s="12" t="n">
        <v>4</v>
      </c>
      <c r="K149" s="12" t="s">
        <v>174</v>
      </c>
      <c r="L149" s="12" t="s">
        <v>2755</v>
      </c>
    </row>
    <row r="150" customFormat="false" ht="23.85" hidden="false" customHeight="false" outlineLevel="0" collapsed="false">
      <c r="A150" s="12" t="s">
        <v>1489</v>
      </c>
      <c r="B150" s="12" t="s">
        <v>1083</v>
      </c>
      <c r="C150" s="12" t="s">
        <v>334</v>
      </c>
      <c r="D150" s="12" t="s">
        <v>1385</v>
      </c>
      <c r="E150" s="13" t="s">
        <v>2812</v>
      </c>
      <c r="F150" s="12" t="s">
        <v>1083</v>
      </c>
      <c r="G150" s="12" t="s">
        <v>2813</v>
      </c>
      <c r="H150" s="12"/>
      <c r="I150" s="12" t="s">
        <v>2344</v>
      </c>
      <c r="J150" s="12" t="n">
        <v>4</v>
      </c>
      <c r="K150" s="12" t="s">
        <v>174</v>
      </c>
      <c r="L150" s="12" t="s">
        <v>2755</v>
      </c>
    </row>
    <row r="151" customFormat="false" ht="15" hidden="false" customHeight="false" outlineLevel="0" collapsed="false">
      <c r="A151" s="12" t="s">
        <v>2814</v>
      </c>
      <c r="B151" s="12" t="s">
        <v>2809</v>
      </c>
      <c r="C151" s="12" t="s">
        <v>2815</v>
      </c>
      <c r="D151" s="12" t="s">
        <v>1379</v>
      </c>
      <c r="E151" s="13" t="s">
        <v>2816</v>
      </c>
      <c r="F151" s="12" t="s">
        <v>2809</v>
      </c>
      <c r="G151" s="12" t="s">
        <v>2817</v>
      </c>
      <c r="H151" s="12"/>
      <c r="I151" s="12" t="s">
        <v>2344</v>
      </c>
      <c r="J151" s="12" t="n">
        <v>4</v>
      </c>
      <c r="K151" s="12" t="s">
        <v>174</v>
      </c>
      <c r="L151" s="12" t="s">
        <v>2755</v>
      </c>
    </row>
    <row r="152" customFormat="false" ht="23.85" hidden="false" customHeight="false" outlineLevel="0" collapsed="false">
      <c r="A152" s="12" t="s">
        <v>1492</v>
      </c>
      <c r="B152" s="12" t="s">
        <v>2818</v>
      </c>
      <c r="C152" s="12" t="s">
        <v>2819</v>
      </c>
      <c r="D152" s="12" t="s">
        <v>1385</v>
      </c>
      <c r="E152" s="13" t="s">
        <v>2820</v>
      </c>
      <c r="F152" s="12" t="s">
        <v>2818</v>
      </c>
      <c r="G152" s="12" t="s">
        <v>352</v>
      </c>
      <c r="H152" s="12"/>
      <c r="I152" s="12" t="s">
        <v>2350</v>
      </c>
      <c r="J152" s="12" t="n">
        <v>3</v>
      </c>
      <c r="K152" s="12" t="s">
        <v>174</v>
      </c>
      <c r="L152" s="12" t="s">
        <v>2755</v>
      </c>
    </row>
    <row r="153" customFormat="false" ht="15" hidden="false" customHeight="false" outlineLevel="0" collapsed="false">
      <c r="A153" s="12" t="s">
        <v>1495</v>
      </c>
      <c r="B153" s="12" t="s">
        <v>2821</v>
      </c>
      <c r="C153" s="12" t="s">
        <v>349</v>
      </c>
      <c r="D153" s="12" t="s">
        <v>1385</v>
      </c>
      <c r="E153" s="13" t="s">
        <v>2822</v>
      </c>
      <c r="F153" s="12" t="s">
        <v>2821</v>
      </c>
      <c r="G153" s="12" t="s">
        <v>2823</v>
      </c>
      <c r="H153" s="12"/>
      <c r="I153" s="12" t="s">
        <v>2350</v>
      </c>
      <c r="J153" s="12" t="n">
        <v>3</v>
      </c>
      <c r="K153" s="12" t="s">
        <v>174</v>
      </c>
      <c r="L153" s="12" t="s">
        <v>2755</v>
      </c>
    </row>
    <row r="154" customFormat="false" ht="23.85" hidden="false" customHeight="false" outlineLevel="0" collapsed="false">
      <c r="A154" s="12" t="s">
        <v>1498</v>
      </c>
      <c r="B154" s="12" t="s">
        <v>2824</v>
      </c>
      <c r="C154" s="12" t="s">
        <v>360</v>
      </c>
      <c r="D154" s="12" t="s">
        <v>1385</v>
      </c>
      <c r="E154" s="13" t="s">
        <v>2825</v>
      </c>
      <c r="F154" s="12" t="s">
        <v>2824</v>
      </c>
      <c r="G154" s="12" t="s">
        <v>2826</v>
      </c>
      <c r="H154" s="12"/>
      <c r="I154" s="12" t="s">
        <v>2344</v>
      </c>
      <c r="J154" s="12" t="n">
        <v>4</v>
      </c>
      <c r="K154" s="12" t="s">
        <v>174</v>
      </c>
      <c r="L154" s="12" t="s">
        <v>2755</v>
      </c>
    </row>
    <row r="155" customFormat="false" ht="23.85" hidden="false" customHeight="false" outlineLevel="0" collapsed="false">
      <c r="A155" s="12" t="s">
        <v>1507</v>
      </c>
      <c r="B155" s="12" t="s">
        <v>2824</v>
      </c>
      <c r="C155" s="12" t="s">
        <v>373</v>
      </c>
      <c r="D155" s="12" t="s">
        <v>1385</v>
      </c>
      <c r="E155" s="13" t="s">
        <v>2827</v>
      </c>
      <c r="F155" s="12" t="s">
        <v>2824</v>
      </c>
      <c r="G155" s="12" t="s">
        <v>2828</v>
      </c>
      <c r="H155" s="12"/>
      <c r="I155" s="12" t="s">
        <v>2344</v>
      </c>
      <c r="J155" s="12" t="n">
        <v>4</v>
      </c>
      <c r="K155" s="12" t="s">
        <v>174</v>
      </c>
      <c r="L155" s="12" t="s">
        <v>2755</v>
      </c>
    </row>
    <row r="156" customFormat="false" ht="23.85" hidden="false" customHeight="false" outlineLevel="0" collapsed="false">
      <c r="A156" s="12" t="s">
        <v>1514</v>
      </c>
      <c r="B156" s="12" t="s">
        <v>2829</v>
      </c>
      <c r="C156" s="12" t="s">
        <v>383</v>
      </c>
      <c r="D156" s="12" t="s">
        <v>1385</v>
      </c>
      <c r="E156" s="13" t="s">
        <v>2830</v>
      </c>
      <c r="F156" s="12" t="s">
        <v>2829</v>
      </c>
      <c r="G156" s="12" t="s">
        <v>2831</v>
      </c>
      <c r="H156" s="12"/>
      <c r="I156" s="12" t="s">
        <v>2350</v>
      </c>
      <c r="J156" s="12" t="n">
        <v>3</v>
      </c>
      <c r="K156" s="12" t="s">
        <v>174</v>
      </c>
      <c r="L156" s="12" t="s">
        <v>2755</v>
      </c>
    </row>
    <row r="157" customFormat="false" ht="23.85" hidden="false" customHeight="false" outlineLevel="0" collapsed="false">
      <c r="A157" s="12" t="s">
        <v>1517</v>
      </c>
      <c r="B157" s="12" t="s">
        <v>2429</v>
      </c>
      <c r="C157" s="12" t="s">
        <v>382</v>
      </c>
      <c r="D157" s="12" t="s">
        <v>1385</v>
      </c>
      <c r="E157" s="13" t="s">
        <v>2832</v>
      </c>
      <c r="F157" s="12" t="s">
        <v>2429</v>
      </c>
      <c r="G157" s="12" t="s">
        <v>2833</v>
      </c>
      <c r="H157" s="12"/>
      <c r="I157" s="12" t="s">
        <v>2350</v>
      </c>
      <c r="J157" s="12" t="n">
        <v>3</v>
      </c>
      <c r="K157" s="12" t="s">
        <v>174</v>
      </c>
      <c r="L157" s="12" t="s">
        <v>2755</v>
      </c>
    </row>
    <row r="158" customFormat="false" ht="15" hidden="false" customHeight="false" outlineLevel="0" collapsed="false">
      <c r="A158" s="12" t="s">
        <v>1520</v>
      </c>
      <c r="B158" s="12" t="s">
        <v>2834</v>
      </c>
      <c r="C158" s="12" t="s">
        <v>399</v>
      </c>
      <c r="D158" s="12" t="s">
        <v>1385</v>
      </c>
      <c r="E158" s="13" t="s">
        <v>2835</v>
      </c>
      <c r="F158" s="12" t="s">
        <v>2834</v>
      </c>
      <c r="G158" s="12" t="s">
        <v>2836</v>
      </c>
      <c r="H158" s="12"/>
      <c r="I158" s="12" t="s">
        <v>2350</v>
      </c>
      <c r="J158" s="12" t="n">
        <v>3</v>
      </c>
      <c r="K158" s="12" t="s">
        <v>174</v>
      </c>
      <c r="L158" s="12" t="s">
        <v>2755</v>
      </c>
    </row>
    <row r="159" customFormat="false" ht="15" hidden="false" customHeight="false" outlineLevel="0" collapsed="false">
      <c r="A159" s="12" t="s">
        <v>2837</v>
      </c>
      <c r="B159" s="12" t="s">
        <v>390</v>
      </c>
      <c r="C159" s="12" t="s">
        <v>2838</v>
      </c>
      <c r="D159" s="12" t="s">
        <v>1385</v>
      </c>
      <c r="E159" s="13" t="s">
        <v>2839</v>
      </c>
      <c r="F159" s="12" t="s">
        <v>390</v>
      </c>
      <c r="G159" s="12" t="s">
        <v>2840</v>
      </c>
      <c r="H159" s="12"/>
      <c r="I159" s="12" t="s">
        <v>2344</v>
      </c>
      <c r="J159" s="12" t="n">
        <v>4</v>
      </c>
      <c r="K159" s="12" t="s">
        <v>174</v>
      </c>
      <c r="L159" s="12" t="s">
        <v>2755</v>
      </c>
    </row>
    <row r="160" customFormat="false" ht="23.85" hidden="false" customHeight="false" outlineLevel="0" collapsed="false">
      <c r="A160" s="12" t="s">
        <v>1523</v>
      </c>
      <c r="B160" s="12" t="s">
        <v>390</v>
      </c>
      <c r="C160" s="12" t="s">
        <v>2841</v>
      </c>
      <c r="D160" s="12" t="s">
        <v>1385</v>
      </c>
      <c r="E160" s="13" t="s">
        <v>2842</v>
      </c>
      <c r="F160" s="12" t="s">
        <v>390</v>
      </c>
      <c r="G160" s="12" t="s">
        <v>2843</v>
      </c>
      <c r="H160" s="12"/>
      <c r="I160" s="12" t="s">
        <v>2344</v>
      </c>
      <c r="J160" s="12" t="n">
        <v>4</v>
      </c>
      <c r="K160" s="12" t="s">
        <v>174</v>
      </c>
      <c r="L160" s="12" t="s">
        <v>2755</v>
      </c>
    </row>
    <row r="161" customFormat="false" ht="15" hidden="false" customHeight="false" outlineLevel="0" collapsed="false">
      <c r="A161" s="12" t="s">
        <v>2844</v>
      </c>
      <c r="B161" s="12" t="s">
        <v>390</v>
      </c>
      <c r="C161" s="12" t="s">
        <v>2845</v>
      </c>
      <c r="D161" s="12" t="s">
        <v>1385</v>
      </c>
      <c r="E161" s="13" t="s">
        <v>2846</v>
      </c>
      <c r="F161" s="12" t="s">
        <v>390</v>
      </c>
      <c r="G161" s="12" t="s">
        <v>2847</v>
      </c>
      <c r="H161" s="12"/>
      <c r="I161" s="12" t="s">
        <v>2344</v>
      </c>
      <c r="J161" s="12" t="n">
        <v>4</v>
      </c>
      <c r="K161" s="12" t="s">
        <v>174</v>
      </c>
      <c r="L161" s="12" t="s">
        <v>2755</v>
      </c>
    </row>
    <row r="162" customFormat="false" ht="15" hidden="false" customHeight="false" outlineLevel="0" collapsed="false">
      <c r="A162" s="12" t="s">
        <v>2280</v>
      </c>
      <c r="B162" s="12" t="s">
        <v>2364</v>
      </c>
      <c r="C162" s="12" t="s">
        <v>2848</v>
      </c>
      <c r="D162" s="12" t="s">
        <v>1385</v>
      </c>
      <c r="E162" s="13" t="s">
        <v>2849</v>
      </c>
      <c r="F162" s="12" t="s">
        <v>2364</v>
      </c>
      <c r="G162" s="12" t="s">
        <v>2850</v>
      </c>
      <c r="H162" s="12"/>
      <c r="I162" s="12" t="s">
        <v>2350</v>
      </c>
      <c r="J162" s="12" t="n">
        <v>3</v>
      </c>
      <c r="K162" s="12" t="s">
        <v>174</v>
      </c>
      <c r="L162" s="12" t="s">
        <v>2755</v>
      </c>
    </row>
    <row r="163" customFormat="false" ht="15" hidden="false" customHeight="false" outlineLevel="0" collapsed="false">
      <c r="A163" s="12" t="s">
        <v>2284</v>
      </c>
      <c r="B163" s="12" t="s">
        <v>2851</v>
      </c>
      <c r="C163" s="12" t="s">
        <v>2675</v>
      </c>
      <c r="D163" s="12" t="s">
        <v>1385</v>
      </c>
      <c r="E163" s="13" t="s">
        <v>2852</v>
      </c>
      <c r="F163" s="12" t="s">
        <v>2851</v>
      </c>
      <c r="G163" s="12" t="s">
        <v>2853</v>
      </c>
      <c r="H163" s="12"/>
      <c r="I163" s="12" t="s">
        <v>2350</v>
      </c>
      <c r="J163" s="12" t="n">
        <v>3</v>
      </c>
      <c r="K163" s="12" t="s">
        <v>174</v>
      </c>
      <c r="L163" s="12" t="s">
        <v>2755</v>
      </c>
    </row>
    <row r="164" customFormat="false" ht="15" hidden="false" customHeight="false" outlineLevel="0" collapsed="false">
      <c r="A164" s="12" t="s">
        <v>1532</v>
      </c>
      <c r="B164" s="12" t="s">
        <v>2854</v>
      </c>
      <c r="C164" s="12" t="s">
        <v>418</v>
      </c>
      <c r="D164" s="12" t="s">
        <v>1379</v>
      </c>
      <c r="E164" s="13" t="s">
        <v>2855</v>
      </c>
      <c r="F164" s="12" t="s">
        <v>2854</v>
      </c>
      <c r="G164" s="12" t="s">
        <v>420</v>
      </c>
      <c r="H164" s="12"/>
      <c r="I164" s="12" t="s">
        <v>2344</v>
      </c>
      <c r="J164" s="12" t="n">
        <v>4</v>
      </c>
      <c r="K164" s="12" t="s">
        <v>174</v>
      </c>
      <c r="L164" s="12" t="s">
        <v>2755</v>
      </c>
    </row>
    <row r="165" customFormat="false" ht="15" hidden="false" customHeight="false" outlineLevel="0" collapsed="false">
      <c r="A165" s="12" t="s">
        <v>2856</v>
      </c>
      <c r="B165" s="12" t="s">
        <v>2404</v>
      </c>
      <c r="C165" s="12" t="s">
        <v>2857</v>
      </c>
      <c r="D165" s="12" t="s">
        <v>1385</v>
      </c>
      <c r="E165" s="13" t="s">
        <v>2858</v>
      </c>
      <c r="F165" s="12" t="s">
        <v>2404</v>
      </c>
      <c r="G165" s="12" t="s">
        <v>2859</v>
      </c>
      <c r="H165" s="12"/>
      <c r="I165" s="12" t="s">
        <v>2350</v>
      </c>
      <c r="J165" s="12" t="n">
        <v>3</v>
      </c>
      <c r="K165" s="12" t="s">
        <v>174</v>
      </c>
      <c r="L165" s="12" t="s">
        <v>2755</v>
      </c>
    </row>
    <row r="166" customFormat="false" ht="15" hidden="false" customHeight="false" outlineLevel="0" collapsed="false">
      <c r="A166" s="12" t="s">
        <v>2860</v>
      </c>
      <c r="B166" s="12" t="s">
        <v>2373</v>
      </c>
      <c r="C166" s="12" t="s">
        <v>417</v>
      </c>
      <c r="D166" s="12" t="s">
        <v>1379</v>
      </c>
      <c r="E166" s="13" t="s">
        <v>2861</v>
      </c>
      <c r="F166" s="12" t="s">
        <v>2373</v>
      </c>
      <c r="G166" s="12" t="s">
        <v>2862</v>
      </c>
      <c r="H166" s="12"/>
      <c r="I166" s="12" t="s">
        <v>2350</v>
      </c>
      <c r="J166" s="12" t="n">
        <v>2</v>
      </c>
      <c r="K166" s="12" t="s">
        <v>174</v>
      </c>
      <c r="L166" s="12" t="s">
        <v>2755</v>
      </c>
    </row>
    <row r="167" customFormat="false" ht="15" hidden="false" customHeight="false" outlineLevel="0" collapsed="false">
      <c r="A167" s="12" t="s">
        <v>1540</v>
      </c>
      <c r="B167" s="12" t="s">
        <v>390</v>
      </c>
      <c r="C167" s="12" t="s">
        <v>428</v>
      </c>
      <c r="D167" s="12" t="s">
        <v>1385</v>
      </c>
      <c r="E167" s="13" t="s">
        <v>2863</v>
      </c>
      <c r="F167" s="12" t="s">
        <v>390</v>
      </c>
      <c r="G167" s="12" t="s">
        <v>432</v>
      </c>
      <c r="H167" s="12"/>
      <c r="I167" s="12" t="s">
        <v>2344</v>
      </c>
      <c r="J167" s="12" t="n">
        <v>4</v>
      </c>
      <c r="K167" s="12" t="s">
        <v>174</v>
      </c>
      <c r="L167" s="12" t="s">
        <v>2755</v>
      </c>
    </row>
    <row r="168" customFormat="false" ht="15" hidden="false" customHeight="false" outlineLevel="0" collapsed="false">
      <c r="A168" s="12" t="s">
        <v>1545</v>
      </c>
      <c r="B168" s="12" t="s">
        <v>390</v>
      </c>
      <c r="C168" s="12" t="s">
        <v>430</v>
      </c>
      <c r="D168" s="12" t="s">
        <v>1385</v>
      </c>
      <c r="E168" s="13" t="s">
        <v>2864</v>
      </c>
      <c r="F168" s="12" t="s">
        <v>390</v>
      </c>
      <c r="G168" s="12" t="s">
        <v>2865</v>
      </c>
      <c r="H168" s="12"/>
      <c r="I168" s="12" t="s">
        <v>2344</v>
      </c>
      <c r="J168" s="12" t="n">
        <v>4</v>
      </c>
      <c r="K168" s="12" t="s">
        <v>174</v>
      </c>
      <c r="L168" s="12" t="s">
        <v>2755</v>
      </c>
    </row>
    <row r="169" customFormat="false" ht="15" hidden="false" customHeight="false" outlineLevel="0" collapsed="false">
      <c r="A169" s="12" t="s">
        <v>2866</v>
      </c>
      <c r="B169" s="12" t="s">
        <v>2867</v>
      </c>
      <c r="C169" s="12" t="s">
        <v>2868</v>
      </c>
      <c r="D169" s="12" t="s">
        <v>1385</v>
      </c>
      <c r="E169" s="13" t="s">
        <v>2869</v>
      </c>
      <c r="F169" s="12" t="s">
        <v>2867</v>
      </c>
      <c r="G169" s="12" t="s">
        <v>2870</v>
      </c>
      <c r="H169" s="12"/>
      <c r="I169" s="12" t="s">
        <v>2350</v>
      </c>
      <c r="J169" s="12" t="n">
        <v>3</v>
      </c>
      <c r="K169" s="12" t="s">
        <v>174</v>
      </c>
      <c r="L169" s="12" t="s">
        <v>2755</v>
      </c>
    </row>
    <row r="170" customFormat="false" ht="15" hidden="false" customHeight="false" outlineLevel="0" collapsed="false">
      <c r="A170" s="12" t="s">
        <v>1554</v>
      </c>
      <c r="B170" s="12" t="s">
        <v>2871</v>
      </c>
      <c r="C170" s="12" t="s">
        <v>2872</v>
      </c>
      <c r="D170" s="12" t="s">
        <v>1385</v>
      </c>
      <c r="E170" s="13" t="s">
        <v>2873</v>
      </c>
      <c r="F170" s="12" t="s">
        <v>2871</v>
      </c>
      <c r="G170" s="12" t="s">
        <v>2874</v>
      </c>
      <c r="H170" s="12"/>
      <c r="I170" s="12" t="s">
        <v>2350</v>
      </c>
      <c r="J170" s="12" t="n">
        <v>2</v>
      </c>
      <c r="K170" s="12" t="s">
        <v>174</v>
      </c>
      <c r="L170" s="12" t="s">
        <v>2755</v>
      </c>
    </row>
    <row r="171" customFormat="false" ht="15" hidden="false" customHeight="false" outlineLevel="0" collapsed="false">
      <c r="A171" s="12" t="s">
        <v>2875</v>
      </c>
      <c r="B171" s="12" t="s">
        <v>2876</v>
      </c>
      <c r="C171" s="12" t="s">
        <v>2872</v>
      </c>
      <c r="D171" s="12" t="s">
        <v>1385</v>
      </c>
      <c r="E171" s="13" t="s">
        <v>2877</v>
      </c>
      <c r="F171" s="12" t="s">
        <v>2876</v>
      </c>
      <c r="G171" s="12" t="s">
        <v>2878</v>
      </c>
      <c r="H171" s="12"/>
      <c r="I171" s="12" t="s">
        <v>2350</v>
      </c>
      <c r="J171" s="12" t="n">
        <v>2</v>
      </c>
      <c r="K171" s="12" t="s">
        <v>174</v>
      </c>
      <c r="L171" s="12" t="s">
        <v>2755</v>
      </c>
    </row>
    <row r="172" customFormat="false" ht="15" hidden="false" customHeight="false" outlineLevel="0" collapsed="false">
      <c r="A172" s="12" t="s">
        <v>1551</v>
      </c>
      <c r="B172" s="12" t="s">
        <v>2879</v>
      </c>
      <c r="C172" s="12" t="s">
        <v>2880</v>
      </c>
      <c r="D172" s="12" t="s">
        <v>1385</v>
      </c>
      <c r="E172" s="13" t="s">
        <v>2881</v>
      </c>
      <c r="F172" s="12" t="s">
        <v>2879</v>
      </c>
      <c r="G172" s="12" t="s">
        <v>2882</v>
      </c>
      <c r="H172" s="12"/>
      <c r="I172" s="12" t="s">
        <v>2350</v>
      </c>
      <c r="J172" s="12" t="n">
        <v>3</v>
      </c>
      <c r="K172" s="12" t="s">
        <v>174</v>
      </c>
      <c r="L172" s="12" t="s">
        <v>2755</v>
      </c>
    </row>
    <row r="173" customFormat="false" ht="15" hidden="false" customHeight="false" outlineLevel="0" collapsed="false">
      <c r="A173" s="12" t="s">
        <v>1558</v>
      </c>
      <c r="B173" s="12" t="s">
        <v>2883</v>
      </c>
      <c r="C173" s="12" t="s">
        <v>1557</v>
      </c>
      <c r="D173" s="12" t="s">
        <v>1385</v>
      </c>
      <c r="E173" s="13" t="s">
        <v>2884</v>
      </c>
      <c r="F173" s="12" t="s">
        <v>2883</v>
      </c>
      <c r="G173" s="12" t="s">
        <v>2885</v>
      </c>
      <c r="H173" s="12"/>
      <c r="I173" s="12" t="s">
        <v>2350</v>
      </c>
      <c r="J173" s="12" t="n">
        <v>2</v>
      </c>
      <c r="K173" s="12" t="s">
        <v>174</v>
      </c>
      <c r="L173" s="12" t="s">
        <v>2755</v>
      </c>
    </row>
    <row r="174" customFormat="false" ht="23.85" hidden="false" customHeight="false" outlineLevel="0" collapsed="false">
      <c r="A174" s="12" t="s">
        <v>2886</v>
      </c>
      <c r="B174" s="12" t="s">
        <v>2887</v>
      </c>
      <c r="C174" s="12" t="s">
        <v>2888</v>
      </c>
      <c r="D174" s="12" t="s">
        <v>1385</v>
      </c>
      <c r="E174" s="13" t="s">
        <v>2889</v>
      </c>
      <c r="F174" s="12" t="s">
        <v>2887</v>
      </c>
      <c r="G174" s="12" t="s">
        <v>2890</v>
      </c>
      <c r="H174" s="12"/>
      <c r="I174" s="12" t="s">
        <v>2344</v>
      </c>
      <c r="J174" s="12" t="n">
        <v>4</v>
      </c>
      <c r="K174" s="12" t="s">
        <v>174</v>
      </c>
      <c r="L174" s="12" t="s">
        <v>2755</v>
      </c>
    </row>
    <row r="175" customFormat="false" ht="15" hidden="false" customHeight="false" outlineLevel="0" collapsed="false">
      <c r="A175" s="12" t="s">
        <v>1564</v>
      </c>
      <c r="B175" s="12" t="s">
        <v>2891</v>
      </c>
      <c r="C175" s="12"/>
      <c r="D175" s="12"/>
      <c r="E175" s="13" t="s">
        <v>2892</v>
      </c>
      <c r="F175" s="12" t="s">
        <v>2891</v>
      </c>
      <c r="G175" s="12" t="s">
        <v>2893</v>
      </c>
      <c r="H175" s="12"/>
      <c r="I175" s="12" t="s">
        <v>2344</v>
      </c>
      <c r="J175" s="12" t="n">
        <v>4</v>
      </c>
      <c r="K175" s="12" t="s">
        <v>174</v>
      </c>
      <c r="L175" s="12" t="s">
        <v>2755</v>
      </c>
    </row>
    <row r="176" customFormat="false" ht="15" hidden="false" customHeight="false" outlineLevel="0" collapsed="false">
      <c r="A176" s="12" t="s">
        <v>2894</v>
      </c>
      <c r="B176" s="12" t="s">
        <v>2895</v>
      </c>
      <c r="C176" s="12" t="s">
        <v>2896</v>
      </c>
      <c r="D176" s="12" t="s">
        <v>1379</v>
      </c>
      <c r="E176" s="13" t="s">
        <v>2897</v>
      </c>
      <c r="F176" s="12" t="s">
        <v>2895</v>
      </c>
      <c r="G176" s="12" t="s">
        <v>2898</v>
      </c>
      <c r="H176" s="12"/>
      <c r="I176" s="12" t="s">
        <v>2534</v>
      </c>
      <c r="J176" s="12" t="n">
        <v>1</v>
      </c>
      <c r="K176" s="12" t="s">
        <v>174</v>
      </c>
      <c r="L176" s="12" t="s">
        <v>2755</v>
      </c>
    </row>
    <row r="177" customFormat="false" ht="23.85" hidden="false" customHeight="false" outlineLevel="0" collapsed="false">
      <c r="A177" s="12" t="s">
        <v>2899</v>
      </c>
      <c r="B177" s="12" t="s">
        <v>2900</v>
      </c>
      <c r="C177" s="12" t="n">
        <v>2021</v>
      </c>
      <c r="D177" s="12" t="s">
        <v>1445</v>
      </c>
      <c r="E177" s="13" t="s">
        <v>2901</v>
      </c>
      <c r="F177" s="12" t="s">
        <v>2900</v>
      </c>
      <c r="G177" s="12" t="s">
        <v>2902</v>
      </c>
      <c r="H177" s="12"/>
      <c r="I177" s="12" t="s">
        <v>2385</v>
      </c>
      <c r="J177" s="12" t="n">
        <v>2</v>
      </c>
      <c r="K177" s="12" t="s">
        <v>174</v>
      </c>
      <c r="L177" s="12" t="s">
        <v>2755</v>
      </c>
    </row>
    <row r="178" customFormat="false" ht="15" hidden="false" customHeight="false" outlineLevel="0" collapsed="false">
      <c r="A178" s="12" t="s">
        <v>1570</v>
      </c>
      <c r="B178" s="12" t="s">
        <v>2341</v>
      </c>
      <c r="C178" s="12" t="s">
        <v>181</v>
      </c>
      <c r="D178" s="12" t="s">
        <v>1385</v>
      </c>
      <c r="E178" s="13" t="s">
        <v>2903</v>
      </c>
      <c r="F178" s="12" t="s">
        <v>2341</v>
      </c>
      <c r="G178" s="12" t="s">
        <v>2904</v>
      </c>
      <c r="H178" s="12"/>
      <c r="I178" s="12" t="s">
        <v>2344</v>
      </c>
      <c r="J178" s="12" t="n">
        <v>4</v>
      </c>
      <c r="K178" s="12" t="s">
        <v>174</v>
      </c>
      <c r="L178" s="12" t="s">
        <v>2755</v>
      </c>
    </row>
    <row r="179" customFormat="false" ht="23.85" hidden="false" customHeight="false" outlineLevel="0" collapsed="false">
      <c r="A179" s="12" t="s">
        <v>1573</v>
      </c>
      <c r="B179" s="12" t="s">
        <v>458</v>
      </c>
      <c r="C179" s="12" t="s">
        <v>2905</v>
      </c>
      <c r="D179" s="12" t="s">
        <v>1385</v>
      </c>
      <c r="E179" s="13" t="s">
        <v>2906</v>
      </c>
      <c r="F179" s="12" t="s">
        <v>458</v>
      </c>
      <c r="G179" s="12" t="s">
        <v>2907</v>
      </c>
      <c r="H179" s="12"/>
      <c r="I179" s="12" t="s">
        <v>2344</v>
      </c>
      <c r="J179" s="12" t="n">
        <v>4</v>
      </c>
      <c r="K179" s="12" t="s">
        <v>174</v>
      </c>
      <c r="L179" s="12" t="s">
        <v>2755</v>
      </c>
    </row>
    <row r="180" customFormat="false" ht="15" hidden="false" customHeight="false" outlineLevel="0" collapsed="false">
      <c r="A180" s="12" t="s">
        <v>1578</v>
      </c>
      <c r="B180" s="12" t="s">
        <v>458</v>
      </c>
      <c r="C180" s="12" t="s">
        <v>604</v>
      </c>
      <c r="D180" s="12" t="s">
        <v>1379</v>
      </c>
      <c r="E180" s="13" t="s">
        <v>2908</v>
      </c>
      <c r="F180" s="12" t="s">
        <v>458</v>
      </c>
      <c r="G180" s="12" t="s">
        <v>2909</v>
      </c>
      <c r="H180" s="12"/>
      <c r="I180" s="12" t="s">
        <v>2344</v>
      </c>
      <c r="J180" s="12" t="n">
        <v>4</v>
      </c>
      <c r="K180" s="12" t="s">
        <v>174</v>
      </c>
      <c r="L180" s="12" t="s">
        <v>2755</v>
      </c>
    </row>
    <row r="181" customFormat="false" ht="15" hidden="false" customHeight="false" outlineLevel="0" collapsed="false">
      <c r="A181" s="12" t="s">
        <v>2910</v>
      </c>
      <c r="B181" s="12" t="s">
        <v>2349</v>
      </c>
      <c r="C181" s="12" t="s">
        <v>2911</v>
      </c>
      <c r="D181" s="12" t="s">
        <v>1385</v>
      </c>
      <c r="E181" s="13" t="s">
        <v>2912</v>
      </c>
      <c r="F181" s="12" t="s">
        <v>2349</v>
      </c>
      <c r="G181" s="12" t="s">
        <v>2913</v>
      </c>
      <c r="H181" s="12"/>
      <c r="I181" s="12" t="s">
        <v>2350</v>
      </c>
      <c r="J181" s="12" t="n">
        <v>3</v>
      </c>
      <c r="K181" s="12" t="s">
        <v>174</v>
      </c>
      <c r="L181" s="12" t="s">
        <v>2755</v>
      </c>
    </row>
    <row r="182" customFormat="false" ht="23.85" hidden="false" customHeight="false" outlineLevel="0" collapsed="false">
      <c r="A182" s="12" t="s">
        <v>2914</v>
      </c>
      <c r="B182" s="12" t="s">
        <v>2915</v>
      </c>
      <c r="C182" s="12" t="s">
        <v>2845</v>
      </c>
      <c r="D182" s="12" t="s">
        <v>1385</v>
      </c>
      <c r="E182" s="13" t="s">
        <v>2916</v>
      </c>
      <c r="F182" s="12" t="s">
        <v>2915</v>
      </c>
      <c r="G182" s="12" t="s">
        <v>2917</v>
      </c>
      <c r="H182" s="12"/>
      <c r="I182" s="12" t="s">
        <v>2350</v>
      </c>
      <c r="J182" s="12" t="n">
        <v>3</v>
      </c>
      <c r="K182" s="12" t="s">
        <v>174</v>
      </c>
      <c r="L182" s="12" t="s">
        <v>2755</v>
      </c>
    </row>
    <row r="183" customFormat="false" ht="15" hidden="false" customHeight="false" outlineLevel="0" collapsed="false">
      <c r="A183" s="12" t="s">
        <v>1583</v>
      </c>
      <c r="B183" s="12" t="s">
        <v>2918</v>
      </c>
      <c r="C183" s="12" t="s">
        <v>2919</v>
      </c>
      <c r="D183" s="12" t="s">
        <v>1385</v>
      </c>
      <c r="E183" s="13" t="s">
        <v>2920</v>
      </c>
      <c r="F183" s="12" t="s">
        <v>2918</v>
      </c>
      <c r="G183" s="12" t="s">
        <v>2921</v>
      </c>
      <c r="H183" s="12"/>
      <c r="I183" s="12" t="s">
        <v>2350</v>
      </c>
      <c r="J183" s="12" t="n">
        <v>3</v>
      </c>
      <c r="K183" s="12" t="s">
        <v>174</v>
      </c>
      <c r="L183" s="12" t="s">
        <v>2755</v>
      </c>
    </row>
    <row r="184" customFormat="false" ht="23.85" hidden="false" customHeight="false" outlineLevel="0" collapsed="false">
      <c r="A184" s="12" t="s">
        <v>2304</v>
      </c>
      <c r="B184" s="12" t="s">
        <v>2373</v>
      </c>
      <c r="C184" s="12" t="s">
        <v>2922</v>
      </c>
      <c r="D184" s="12" t="s">
        <v>1385</v>
      </c>
      <c r="E184" s="13" t="s">
        <v>2923</v>
      </c>
      <c r="F184" s="12" t="s">
        <v>2373</v>
      </c>
      <c r="G184" s="12" t="s">
        <v>2924</v>
      </c>
      <c r="H184" s="12"/>
      <c r="I184" s="12" t="s">
        <v>2350</v>
      </c>
      <c r="J184" s="12" t="n">
        <v>2</v>
      </c>
      <c r="K184" s="12" t="s">
        <v>174</v>
      </c>
      <c r="L184" s="12" t="s">
        <v>2755</v>
      </c>
    </row>
    <row r="185" customFormat="false" ht="15" hidden="false" customHeight="false" outlineLevel="0" collapsed="false">
      <c r="A185" s="12" t="s">
        <v>2925</v>
      </c>
      <c r="B185" s="12" t="s">
        <v>2926</v>
      </c>
      <c r="C185" s="12" t="s">
        <v>2927</v>
      </c>
      <c r="D185" s="12" t="s">
        <v>1385</v>
      </c>
      <c r="E185" s="13" t="s">
        <v>2928</v>
      </c>
      <c r="F185" s="12" t="s">
        <v>2926</v>
      </c>
      <c r="G185" s="12" t="s">
        <v>2929</v>
      </c>
      <c r="H185" s="12"/>
      <c r="I185" s="12" t="s">
        <v>2350</v>
      </c>
      <c r="J185" s="12" t="n">
        <v>3</v>
      </c>
      <c r="K185" s="12" t="s">
        <v>174</v>
      </c>
      <c r="L185" s="12" t="s">
        <v>2755</v>
      </c>
    </row>
    <row r="186" customFormat="false" ht="23.85" hidden="false" customHeight="false" outlineLevel="0" collapsed="false">
      <c r="A186" s="12" t="s">
        <v>2300</v>
      </c>
      <c r="B186" s="12" t="s">
        <v>2930</v>
      </c>
      <c r="C186" s="12" t="s">
        <v>2931</v>
      </c>
      <c r="D186" s="12" t="s">
        <v>1385</v>
      </c>
      <c r="E186" s="13" t="s">
        <v>2932</v>
      </c>
      <c r="F186" s="12" t="s">
        <v>2930</v>
      </c>
      <c r="G186" s="12" t="s">
        <v>2933</v>
      </c>
      <c r="H186" s="12"/>
      <c r="I186" s="12" t="s">
        <v>2385</v>
      </c>
      <c r="J186" s="12" t="n">
        <v>2</v>
      </c>
      <c r="K186" s="12" t="s">
        <v>174</v>
      </c>
      <c r="L186" s="12" t="s">
        <v>2755</v>
      </c>
    </row>
    <row r="187" customFormat="false" ht="15" hidden="false" customHeight="false" outlineLevel="0" collapsed="false">
      <c r="A187" s="12" t="s">
        <v>2934</v>
      </c>
      <c r="B187" s="12" t="s">
        <v>2429</v>
      </c>
      <c r="C187" s="12" t="s">
        <v>2935</v>
      </c>
      <c r="D187" s="12" t="s">
        <v>1385</v>
      </c>
      <c r="E187" s="13" t="s">
        <v>2936</v>
      </c>
      <c r="F187" s="12" t="s">
        <v>2429</v>
      </c>
      <c r="G187" s="12" t="s">
        <v>2937</v>
      </c>
      <c r="H187" s="12"/>
      <c r="I187" s="12" t="s">
        <v>2350</v>
      </c>
      <c r="J187" s="12" t="n">
        <v>3</v>
      </c>
      <c r="K187" s="12" t="s">
        <v>174</v>
      </c>
      <c r="L187" s="12" t="s">
        <v>2755</v>
      </c>
    </row>
    <row r="188" customFormat="false" ht="15" hidden="false" customHeight="false" outlineLevel="0" collapsed="false">
      <c r="A188" s="12" t="s">
        <v>1586</v>
      </c>
      <c r="B188" s="12" t="s">
        <v>2400</v>
      </c>
      <c r="C188" s="12" t="s">
        <v>475</v>
      </c>
      <c r="D188" s="12" t="s">
        <v>1379</v>
      </c>
      <c r="E188" s="13" t="s">
        <v>2938</v>
      </c>
      <c r="F188" s="12" t="s">
        <v>2400</v>
      </c>
      <c r="G188" s="12" t="s">
        <v>2939</v>
      </c>
      <c r="H188" s="12"/>
      <c r="I188" s="12" t="s">
        <v>2344</v>
      </c>
      <c r="J188" s="12" t="n">
        <v>4</v>
      </c>
      <c r="K188" s="12" t="s">
        <v>174</v>
      </c>
      <c r="L188" s="12" t="s">
        <v>2755</v>
      </c>
    </row>
    <row r="189" customFormat="false" ht="15" hidden="false" customHeight="false" outlineLevel="0" collapsed="false">
      <c r="A189" s="12" t="s">
        <v>2940</v>
      </c>
      <c r="B189" s="12" t="s">
        <v>2941</v>
      </c>
      <c r="C189" s="12"/>
      <c r="D189" s="12"/>
      <c r="E189" s="13" t="s">
        <v>2942</v>
      </c>
      <c r="F189" s="12" t="s">
        <v>2941</v>
      </c>
      <c r="G189" s="12" t="s">
        <v>2943</v>
      </c>
      <c r="H189" s="12"/>
      <c r="I189" s="12" t="s">
        <v>2344</v>
      </c>
      <c r="J189" s="12" t="n">
        <v>4</v>
      </c>
      <c r="K189" s="12" t="s">
        <v>174</v>
      </c>
      <c r="L189" s="12" t="s">
        <v>2755</v>
      </c>
    </row>
    <row r="190" customFormat="false" ht="23.85" hidden="false" customHeight="false" outlineLevel="0" collapsed="false">
      <c r="A190" s="12" t="s">
        <v>2944</v>
      </c>
      <c r="B190" s="12" t="s">
        <v>2945</v>
      </c>
      <c r="C190" s="12" t="s">
        <v>2946</v>
      </c>
      <c r="D190" s="12" t="s">
        <v>1385</v>
      </c>
      <c r="E190" s="13" t="s">
        <v>2947</v>
      </c>
      <c r="F190" s="12" t="s">
        <v>2945</v>
      </c>
      <c r="G190" s="12" t="s">
        <v>2948</v>
      </c>
      <c r="H190" s="12"/>
      <c r="I190" s="12" t="s">
        <v>2350</v>
      </c>
      <c r="J190" s="12" t="n">
        <v>3</v>
      </c>
      <c r="K190" s="12" t="s">
        <v>174</v>
      </c>
      <c r="L190" s="12" t="s">
        <v>2755</v>
      </c>
    </row>
    <row r="191" customFormat="false" ht="15" hidden="false" customHeight="false" outlineLevel="0" collapsed="false">
      <c r="A191" s="12" t="s">
        <v>2949</v>
      </c>
      <c r="B191" s="12" t="s">
        <v>2950</v>
      </c>
      <c r="C191" s="12" t="s">
        <v>2951</v>
      </c>
      <c r="D191" s="12" t="s">
        <v>1385</v>
      </c>
      <c r="E191" s="13" t="s">
        <v>2952</v>
      </c>
      <c r="F191" s="12" t="s">
        <v>2950</v>
      </c>
      <c r="G191" s="12" t="s">
        <v>2953</v>
      </c>
      <c r="H191" s="12"/>
      <c r="I191" s="12" t="s">
        <v>2344</v>
      </c>
      <c r="J191" s="12" t="n">
        <v>4</v>
      </c>
      <c r="K191" s="12" t="s">
        <v>174</v>
      </c>
      <c r="L191" s="12" t="s">
        <v>2755</v>
      </c>
    </row>
    <row r="192" customFormat="false" ht="15" hidden="false" customHeight="false" outlineLevel="0" collapsed="false">
      <c r="A192" s="12" t="s">
        <v>2954</v>
      </c>
      <c r="B192" s="12" t="s">
        <v>2809</v>
      </c>
      <c r="C192" s="12" t="s">
        <v>2955</v>
      </c>
      <c r="D192" s="12" t="s">
        <v>1379</v>
      </c>
      <c r="E192" s="13" t="s">
        <v>2956</v>
      </c>
      <c r="F192" s="12" t="s">
        <v>2809</v>
      </c>
      <c r="G192" s="12" t="s">
        <v>2957</v>
      </c>
      <c r="H192" s="12"/>
      <c r="I192" s="12" t="s">
        <v>2344</v>
      </c>
      <c r="J192" s="12" t="n">
        <v>4</v>
      </c>
      <c r="K192" s="12" t="s">
        <v>174</v>
      </c>
      <c r="L192" s="12" t="s">
        <v>2755</v>
      </c>
    </row>
    <row r="193" customFormat="false" ht="15" hidden="false" customHeight="false" outlineLevel="0" collapsed="false">
      <c r="A193" s="12" t="s">
        <v>2958</v>
      </c>
      <c r="B193" s="12" t="s">
        <v>2950</v>
      </c>
      <c r="C193" s="12" t="s">
        <v>2959</v>
      </c>
      <c r="D193" s="12" t="s">
        <v>1385</v>
      </c>
      <c r="E193" s="13" t="s">
        <v>2960</v>
      </c>
      <c r="F193" s="12" t="s">
        <v>2950</v>
      </c>
      <c r="G193" s="12" t="s">
        <v>2961</v>
      </c>
      <c r="H193" s="12"/>
      <c r="I193" s="12" t="s">
        <v>2344</v>
      </c>
      <c r="J193" s="12" t="n">
        <v>4</v>
      </c>
      <c r="K193" s="12" t="s">
        <v>174</v>
      </c>
      <c r="L193" s="12" t="s">
        <v>2755</v>
      </c>
    </row>
    <row r="194" customFormat="false" ht="23.85" hidden="false" customHeight="false" outlineLevel="0" collapsed="false">
      <c r="A194" s="12" t="s">
        <v>1592</v>
      </c>
      <c r="B194" s="12" t="s">
        <v>2962</v>
      </c>
      <c r="C194" s="12" t="s">
        <v>486</v>
      </c>
      <c r="D194" s="12" t="s">
        <v>1385</v>
      </c>
      <c r="E194" s="13" t="s">
        <v>2963</v>
      </c>
      <c r="F194" s="12" t="s">
        <v>2962</v>
      </c>
      <c r="G194" s="12" t="s">
        <v>2964</v>
      </c>
      <c r="H194" s="12"/>
      <c r="I194" s="12" t="s">
        <v>2350</v>
      </c>
      <c r="J194" s="12" t="n">
        <v>3</v>
      </c>
      <c r="K194" s="12" t="s">
        <v>174</v>
      </c>
      <c r="L194" s="12" t="s">
        <v>2755</v>
      </c>
    </row>
    <row r="195" customFormat="false" ht="23.85" hidden="false" customHeight="false" outlineLevel="0" collapsed="false">
      <c r="A195" s="12" t="s">
        <v>2965</v>
      </c>
      <c r="B195" s="12" t="s">
        <v>2966</v>
      </c>
      <c r="C195" s="12" t="s">
        <v>2967</v>
      </c>
      <c r="D195" s="12" t="s">
        <v>1385</v>
      </c>
      <c r="E195" s="13" t="s">
        <v>2968</v>
      </c>
      <c r="F195" s="12" t="s">
        <v>2966</v>
      </c>
      <c r="G195" s="12" t="s">
        <v>2969</v>
      </c>
      <c r="H195" s="12"/>
      <c r="I195" s="12" t="s">
        <v>2350</v>
      </c>
      <c r="J195" s="12" t="n">
        <v>3</v>
      </c>
      <c r="K195" s="12" t="s">
        <v>174</v>
      </c>
      <c r="L195" s="12" t="s">
        <v>2755</v>
      </c>
    </row>
    <row r="196" customFormat="false" ht="23.85" hidden="false" customHeight="false" outlineLevel="0" collapsed="false">
      <c r="A196" s="12" t="s">
        <v>2308</v>
      </c>
      <c r="B196" s="12" t="s">
        <v>2410</v>
      </c>
      <c r="C196" s="12" t="s">
        <v>497</v>
      </c>
      <c r="D196" s="12" t="s">
        <v>1385</v>
      </c>
      <c r="E196" s="13" t="s">
        <v>2970</v>
      </c>
      <c r="F196" s="12" t="s">
        <v>2410</v>
      </c>
      <c r="G196" s="12" t="s">
        <v>2971</v>
      </c>
      <c r="H196" s="12"/>
      <c r="I196" s="12" t="s">
        <v>2350</v>
      </c>
      <c r="J196" s="12" t="n">
        <v>3</v>
      </c>
      <c r="K196" s="12" t="s">
        <v>174</v>
      </c>
      <c r="L196" s="12" t="s">
        <v>2755</v>
      </c>
    </row>
    <row r="197" customFormat="false" ht="23.85" hidden="false" customHeight="false" outlineLevel="0" collapsed="false">
      <c r="A197" s="12" t="s">
        <v>2972</v>
      </c>
      <c r="B197" s="12" t="s">
        <v>2973</v>
      </c>
      <c r="C197" s="12" t="s">
        <v>497</v>
      </c>
      <c r="D197" s="12" t="s">
        <v>1385</v>
      </c>
      <c r="E197" s="13" t="s">
        <v>2974</v>
      </c>
      <c r="F197" s="12" t="s">
        <v>2973</v>
      </c>
      <c r="G197" s="12" t="s">
        <v>2975</v>
      </c>
      <c r="H197" s="12"/>
      <c r="I197" s="12" t="s">
        <v>2350</v>
      </c>
      <c r="J197" s="12" t="n">
        <v>3</v>
      </c>
      <c r="K197" s="12" t="s">
        <v>174</v>
      </c>
      <c r="L197" s="12" t="s">
        <v>2755</v>
      </c>
    </row>
    <row r="198" customFormat="false" ht="23.85" hidden="false" customHeight="false" outlineLevel="0" collapsed="false">
      <c r="A198" s="12" t="s">
        <v>1598</v>
      </c>
      <c r="B198" s="12" t="s">
        <v>2962</v>
      </c>
      <c r="C198" s="12" t="s">
        <v>496</v>
      </c>
      <c r="D198" s="12" t="s">
        <v>1385</v>
      </c>
      <c r="E198" s="13" t="s">
        <v>2976</v>
      </c>
      <c r="F198" s="12" t="s">
        <v>2962</v>
      </c>
      <c r="G198" s="12" t="s">
        <v>2977</v>
      </c>
      <c r="H198" s="12"/>
      <c r="I198" s="12" t="s">
        <v>2350</v>
      </c>
      <c r="J198" s="12" t="n">
        <v>3</v>
      </c>
      <c r="K198" s="12" t="s">
        <v>174</v>
      </c>
      <c r="L198" s="12" t="s">
        <v>2755</v>
      </c>
    </row>
    <row r="199" customFormat="false" ht="23.85" hidden="false" customHeight="false" outlineLevel="0" collapsed="false">
      <c r="A199" s="12" t="s">
        <v>1601</v>
      </c>
      <c r="B199" s="12" t="s">
        <v>2978</v>
      </c>
      <c r="C199" s="12" t="s">
        <v>512</v>
      </c>
      <c r="D199" s="12" t="s">
        <v>1385</v>
      </c>
      <c r="E199" s="13" t="s">
        <v>2979</v>
      </c>
      <c r="F199" s="12" t="s">
        <v>2978</v>
      </c>
      <c r="G199" s="12" t="s">
        <v>515</v>
      </c>
      <c r="H199" s="12"/>
      <c r="I199" s="12" t="s">
        <v>2344</v>
      </c>
      <c r="J199" s="12" t="n">
        <v>4</v>
      </c>
      <c r="K199" s="12" t="s">
        <v>174</v>
      </c>
      <c r="L199" s="12" t="s">
        <v>2755</v>
      </c>
    </row>
    <row r="200" customFormat="false" ht="15" hidden="false" customHeight="false" outlineLevel="0" collapsed="false">
      <c r="A200" s="12" t="s">
        <v>1604</v>
      </c>
      <c r="B200" s="12" t="s">
        <v>2364</v>
      </c>
      <c r="C200" s="12" t="s">
        <v>2980</v>
      </c>
      <c r="D200" s="12" t="s">
        <v>1385</v>
      </c>
      <c r="E200" s="13" t="s">
        <v>2981</v>
      </c>
      <c r="F200" s="12" t="s">
        <v>2364</v>
      </c>
      <c r="G200" s="12" t="s">
        <v>2982</v>
      </c>
      <c r="H200" s="12"/>
      <c r="I200" s="12" t="s">
        <v>2350</v>
      </c>
      <c r="J200" s="12" t="n">
        <v>3</v>
      </c>
      <c r="K200" s="12" t="s">
        <v>174</v>
      </c>
      <c r="L200" s="12" t="s">
        <v>2755</v>
      </c>
    </row>
    <row r="201" customFormat="false" ht="15" hidden="false" customHeight="false" outlineLevel="0" collapsed="false">
      <c r="A201" s="12" t="s">
        <v>2983</v>
      </c>
      <c r="B201" s="12" t="s">
        <v>2984</v>
      </c>
      <c r="C201" s="12" t="s">
        <v>2980</v>
      </c>
      <c r="D201" s="12" t="s">
        <v>1385</v>
      </c>
      <c r="E201" s="13" t="s">
        <v>2985</v>
      </c>
      <c r="F201" s="12" t="s">
        <v>2984</v>
      </c>
      <c r="G201" s="12" t="s">
        <v>2986</v>
      </c>
      <c r="H201" s="12"/>
      <c r="I201" s="12" t="s">
        <v>2350</v>
      </c>
      <c r="J201" s="12" t="n">
        <v>3</v>
      </c>
      <c r="K201" s="12" t="s">
        <v>174</v>
      </c>
      <c r="L201" s="12" t="s">
        <v>2755</v>
      </c>
    </row>
    <row r="202" customFormat="false" ht="23.85" hidden="false" customHeight="false" outlineLevel="0" collapsed="false">
      <c r="A202" s="12" t="s">
        <v>1607</v>
      </c>
      <c r="B202" s="12" t="s">
        <v>2987</v>
      </c>
      <c r="C202" s="12" t="s">
        <v>511</v>
      </c>
      <c r="D202" s="12" t="s">
        <v>1385</v>
      </c>
      <c r="E202" s="13" t="s">
        <v>2988</v>
      </c>
      <c r="F202" s="12" t="s">
        <v>2987</v>
      </c>
      <c r="G202" s="12" t="s">
        <v>2989</v>
      </c>
      <c r="H202" s="12"/>
      <c r="I202" s="12" t="s">
        <v>2350</v>
      </c>
      <c r="J202" s="12" t="n">
        <v>3</v>
      </c>
      <c r="K202" s="12" t="s">
        <v>174</v>
      </c>
      <c r="L202" s="12" t="s">
        <v>2755</v>
      </c>
    </row>
    <row r="203" customFormat="false" ht="15" hidden="false" customHeight="false" outlineLevel="0" collapsed="false">
      <c r="A203" s="12" t="s">
        <v>2990</v>
      </c>
      <c r="B203" s="12" t="s">
        <v>2887</v>
      </c>
      <c r="C203" s="12" t="s">
        <v>2991</v>
      </c>
      <c r="D203" s="12" t="s">
        <v>1379</v>
      </c>
      <c r="E203" s="13" t="s">
        <v>2992</v>
      </c>
      <c r="F203" s="12" t="s">
        <v>2887</v>
      </c>
      <c r="G203" s="12" t="s">
        <v>2993</v>
      </c>
      <c r="H203" s="12"/>
      <c r="I203" s="12" t="s">
        <v>2344</v>
      </c>
      <c r="J203" s="12" t="n">
        <v>4</v>
      </c>
      <c r="K203" s="12" t="s">
        <v>174</v>
      </c>
      <c r="L203" s="12" t="s">
        <v>2755</v>
      </c>
    </row>
    <row r="204" customFormat="false" ht="15" hidden="false" customHeight="false" outlineLevel="0" collapsed="false">
      <c r="A204" s="12" t="s">
        <v>2994</v>
      </c>
      <c r="B204" s="12" t="s">
        <v>2995</v>
      </c>
      <c r="C204" s="12" t="s">
        <v>2996</v>
      </c>
      <c r="D204" s="12" t="s">
        <v>1385</v>
      </c>
      <c r="E204" s="13" t="s">
        <v>2997</v>
      </c>
      <c r="F204" s="12" t="s">
        <v>2995</v>
      </c>
      <c r="G204" s="12" t="s">
        <v>2998</v>
      </c>
      <c r="H204" s="12"/>
      <c r="I204" s="12" t="s">
        <v>2385</v>
      </c>
      <c r="J204" s="12" t="n">
        <v>2</v>
      </c>
      <c r="K204" s="12" t="s">
        <v>174</v>
      </c>
      <c r="L204" s="12" t="s">
        <v>2755</v>
      </c>
    </row>
    <row r="205" customFormat="false" ht="23.85" hidden="false" customHeight="false" outlineLevel="0" collapsed="false">
      <c r="A205" s="12" t="s">
        <v>1610</v>
      </c>
      <c r="B205" s="12" t="s">
        <v>2999</v>
      </c>
      <c r="C205" s="12" t="s">
        <v>526</v>
      </c>
      <c r="D205" s="12" t="s">
        <v>1385</v>
      </c>
      <c r="E205" s="13" t="s">
        <v>3000</v>
      </c>
      <c r="F205" s="12" t="s">
        <v>2999</v>
      </c>
      <c r="G205" s="12" t="s">
        <v>532</v>
      </c>
      <c r="H205" s="12"/>
      <c r="I205" s="12" t="s">
        <v>2344</v>
      </c>
      <c r="J205" s="12" t="n">
        <v>4</v>
      </c>
      <c r="K205" s="12" t="s">
        <v>174</v>
      </c>
      <c r="L205" s="12" t="s">
        <v>2755</v>
      </c>
    </row>
    <row r="206" customFormat="false" ht="23.85" hidden="false" customHeight="false" outlineLevel="0" collapsed="false">
      <c r="A206" s="12" t="s">
        <v>1613</v>
      </c>
      <c r="B206" s="12" t="s">
        <v>2999</v>
      </c>
      <c r="C206" s="12" t="s">
        <v>527</v>
      </c>
      <c r="D206" s="12" t="s">
        <v>1385</v>
      </c>
      <c r="E206" s="13" t="s">
        <v>3001</v>
      </c>
      <c r="F206" s="12" t="s">
        <v>2999</v>
      </c>
      <c r="G206" s="12" t="s">
        <v>3002</v>
      </c>
      <c r="H206" s="12"/>
      <c r="I206" s="12" t="s">
        <v>2344</v>
      </c>
      <c r="J206" s="12" t="n">
        <v>4</v>
      </c>
      <c r="K206" s="12" t="s">
        <v>174</v>
      </c>
      <c r="L206" s="12" t="s">
        <v>2755</v>
      </c>
    </row>
    <row r="207" customFormat="false" ht="23.85" hidden="false" customHeight="false" outlineLevel="0" collapsed="false">
      <c r="A207" s="12" t="s">
        <v>1616</v>
      </c>
      <c r="B207" s="12" t="s">
        <v>2999</v>
      </c>
      <c r="C207" s="12" t="s">
        <v>3003</v>
      </c>
      <c r="D207" s="12" t="s">
        <v>1385</v>
      </c>
      <c r="E207" s="13" t="s">
        <v>3004</v>
      </c>
      <c r="F207" s="12" t="s">
        <v>2999</v>
      </c>
      <c r="G207" s="12" t="s">
        <v>3005</v>
      </c>
      <c r="H207" s="12"/>
      <c r="I207" s="12" t="s">
        <v>2344</v>
      </c>
      <c r="J207" s="12" t="n">
        <v>4</v>
      </c>
      <c r="K207" s="12" t="s">
        <v>174</v>
      </c>
      <c r="L207" s="12" t="s">
        <v>2755</v>
      </c>
    </row>
    <row r="208" customFormat="false" ht="23.85" hidden="false" customHeight="false" outlineLevel="0" collapsed="false">
      <c r="A208" s="12" t="s">
        <v>1619</v>
      </c>
      <c r="B208" s="12" t="s">
        <v>2999</v>
      </c>
      <c r="C208" s="12" t="s">
        <v>529</v>
      </c>
      <c r="D208" s="12" t="s">
        <v>1385</v>
      </c>
      <c r="E208" s="13" t="s">
        <v>3006</v>
      </c>
      <c r="F208" s="12" t="s">
        <v>2999</v>
      </c>
      <c r="G208" s="12" t="s">
        <v>3007</v>
      </c>
      <c r="H208" s="12"/>
      <c r="I208" s="12" t="s">
        <v>2344</v>
      </c>
      <c r="J208" s="12" t="n">
        <v>4</v>
      </c>
      <c r="K208" s="12" t="s">
        <v>174</v>
      </c>
      <c r="L208" s="12" t="s">
        <v>2755</v>
      </c>
    </row>
    <row r="209" customFormat="false" ht="15" hidden="false" customHeight="false" outlineLevel="0" collapsed="false">
      <c r="A209" s="12" t="s">
        <v>2318</v>
      </c>
      <c r="B209" s="12" t="s">
        <v>2349</v>
      </c>
      <c r="C209" s="12" t="s">
        <v>3008</v>
      </c>
      <c r="D209" s="12" t="s">
        <v>1385</v>
      </c>
      <c r="E209" s="13" t="s">
        <v>3009</v>
      </c>
      <c r="F209" s="12" t="s">
        <v>2349</v>
      </c>
      <c r="G209" s="12" t="s">
        <v>3010</v>
      </c>
      <c r="H209" s="12"/>
      <c r="I209" s="12" t="s">
        <v>2350</v>
      </c>
      <c r="J209" s="12" t="n">
        <v>3</v>
      </c>
      <c r="K209" s="12" t="s">
        <v>174</v>
      </c>
      <c r="L209" s="12" t="s">
        <v>2755</v>
      </c>
    </row>
    <row r="210" customFormat="false" ht="15" hidden="false" customHeight="false" outlineLevel="0" collapsed="false">
      <c r="A210" s="12" t="s">
        <v>2322</v>
      </c>
      <c r="B210" s="12" t="s">
        <v>2349</v>
      </c>
      <c r="C210" s="12" t="s">
        <v>3011</v>
      </c>
      <c r="D210" s="12" t="s">
        <v>1385</v>
      </c>
      <c r="E210" s="13" t="s">
        <v>3012</v>
      </c>
      <c r="F210" s="12" t="s">
        <v>2349</v>
      </c>
      <c r="G210" s="12" t="s">
        <v>3013</v>
      </c>
      <c r="H210" s="12"/>
      <c r="I210" s="12" t="s">
        <v>2350</v>
      </c>
      <c r="J210" s="12" t="n">
        <v>3</v>
      </c>
      <c r="K210" s="12" t="s">
        <v>174</v>
      </c>
      <c r="L210" s="12" t="s">
        <v>2755</v>
      </c>
    </row>
    <row r="211" customFormat="false" ht="15" hidden="false" customHeight="false" outlineLevel="0" collapsed="false">
      <c r="A211" s="12" t="s">
        <v>1622</v>
      </c>
      <c r="B211" s="12" t="s">
        <v>3014</v>
      </c>
      <c r="C211" s="12" t="s">
        <v>525</v>
      </c>
      <c r="D211" s="12" t="s">
        <v>1385</v>
      </c>
      <c r="E211" s="13" t="s">
        <v>3015</v>
      </c>
      <c r="F211" s="12" t="s">
        <v>3014</v>
      </c>
      <c r="G211" s="12" t="s">
        <v>3016</v>
      </c>
      <c r="H211" s="12"/>
      <c r="I211" s="12" t="s">
        <v>2350</v>
      </c>
      <c r="J211" s="12" t="n">
        <v>3</v>
      </c>
      <c r="K211" s="12" t="s">
        <v>174</v>
      </c>
      <c r="L211" s="12" t="s">
        <v>2755</v>
      </c>
    </row>
    <row r="212" customFormat="false" ht="15" hidden="false" customHeight="false" outlineLevel="0" collapsed="false">
      <c r="A212" s="12" t="s">
        <v>1631</v>
      </c>
      <c r="B212" s="12" t="s">
        <v>2687</v>
      </c>
      <c r="C212" s="12" t="n">
        <v>2025</v>
      </c>
      <c r="D212" s="12" t="s">
        <v>1445</v>
      </c>
      <c r="E212" s="13" t="s">
        <v>3017</v>
      </c>
      <c r="F212" s="12" t="s">
        <v>2687</v>
      </c>
      <c r="G212" s="12" t="s">
        <v>3018</v>
      </c>
      <c r="H212" s="12"/>
      <c r="I212" s="12" t="s">
        <v>2344</v>
      </c>
      <c r="J212" s="12" t="n">
        <v>4</v>
      </c>
      <c r="K212" s="12" t="s">
        <v>174</v>
      </c>
      <c r="L212" s="12" t="s">
        <v>2755</v>
      </c>
    </row>
    <row r="213" customFormat="false" ht="23.85" hidden="false" customHeight="false" outlineLevel="0" collapsed="false">
      <c r="A213" s="12" t="s">
        <v>1625</v>
      </c>
      <c r="B213" s="12" t="s">
        <v>2683</v>
      </c>
      <c r="C213" s="12" t="s">
        <v>542</v>
      </c>
      <c r="D213" s="12" t="s">
        <v>1385</v>
      </c>
      <c r="E213" s="13" t="s">
        <v>3019</v>
      </c>
      <c r="F213" s="12" t="s">
        <v>2683</v>
      </c>
      <c r="G213" s="12" t="s">
        <v>3020</v>
      </c>
      <c r="H213" s="12"/>
      <c r="I213" s="12" t="s">
        <v>2534</v>
      </c>
      <c r="J213" s="12" t="n">
        <v>1</v>
      </c>
      <c r="K213" s="12" t="s">
        <v>174</v>
      </c>
      <c r="L213" s="12" t="s">
        <v>2755</v>
      </c>
    </row>
    <row r="214" customFormat="false" ht="15" hidden="false" customHeight="false" outlineLevel="0" collapsed="false">
      <c r="A214" s="12" t="s">
        <v>3021</v>
      </c>
      <c r="B214" s="12" t="s">
        <v>3022</v>
      </c>
      <c r="C214" s="12" t="s">
        <v>3023</v>
      </c>
      <c r="D214" s="12" t="s">
        <v>1379</v>
      </c>
      <c r="E214" s="13" t="s">
        <v>3024</v>
      </c>
      <c r="F214" s="12" t="s">
        <v>3022</v>
      </c>
      <c r="G214" s="12" t="s">
        <v>3025</v>
      </c>
      <c r="H214" s="12"/>
      <c r="I214" s="12" t="s">
        <v>2344</v>
      </c>
      <c r="J214" s="12" t="n">
        <v>4</v>
      </c>
      <c r="K214" s="12" t="s">
        <v>174</v>
      </c>
      <c r="L214" s="12" t="s">
        <v>2755</v>
      </c>
    </row>
    <row r="215" customFormat="false" ht="15" hidden="false" customHeight="false" outlineLevel="0" collapsed="false">
      <c r="A215" s="12" t="s">
        <v>1637</v>
      </c>
      <c r="B215" s="12" t="s">
        <v>3026</v>
      </c>
      <c r="C215" s="12" t="s">
        <v>3027</v>
      </c>
      <c r="D215" s="12" t="s">
        <v>1385</v>
      </c>
      <c r="E215" s="13" t="s">
        <v>3028</v>
      </c>
      <c r="F215" s="12" t="s">
        <v>3026</v>
      </c>
      <c r="G215" s="12" t="s">
        <v>3029</v>
      </c>
      <c r="H215" s="12"/>
      <c r="I215" s="12" t="s">
        <v>2350</v>
      </c>
      <c r="J215" s="12" t="n">
        <v>2</v>
      </c>
      <c r="K215" s="12" t="s">
        <v>174</v>
      </c>
      <c r="L215" s="12" t="s">
        <v>2755</v>
      </c>
    </row>
    <row r="216" customFormat="false" ht="23.85" hidden="false" customHeight="false" outlineLevel="0" collapsed="false">
      <c r="A216" s="12" t="s">
        <v>1645</v>
      </c>
      <c r="B216" s="12" t="s">
        <v>3030</v>
      </c>
      <c r="C216" s="12" t="s">
        <v>568</v>
      </c>
      <c r="D216" s="12" t="s">
        <v>1385</v>
      </c>
      <c r="E216" s="13" t="s">
        <v>3031</v>
      </c>
      <c r="F216" s="12" t="s">
        <v>3030</v>
      </c>
      <c r="G216" s="12" t="s">
        <v>3032</v>
      </c>
      <c r="H216" s="12"/>
      <c r="I216" s="12" t="s">
        <v>2344</v>
      </c>
      <c r="J216" s="12" t="n">
        <v>4</v>
      </c>
      <c r="K216" s="12" t="s">
        <v>174</v>
      </c>
      <c r="L216" s="12" t="s">
        <v>2755</v>
      </c>
    </row>
    <row r="217" customFormat="false" ht="15" hidden="false" customHeight="false" outlineLevel="0" collapsed="false">
      <c r="A217" s="12" t="s">
        <v>3033</v>
      </c>
      <c r="B217" s="12" t="s">
        <v>3030</v>
      </c>
      <c r="C217" s="12" t="s">
        <v>3034</v>
      </c>
      <c r="D217" s="12" t="s">
        <v>1385</v>
      </c>
      <c r="E217" s="13" t="s">
        <v>3035</v>
      </c>
      <c r="F217" s="12" t="s">
        <v>3030</v>
      </c>
      <c r="G217" s="12" t="s">
        <v>3036</v>
      </c>
      <c r="H217" s="12"/>
      <c r="I217" s="12" t="s">
        <v>2344</v>
      </c>
      <c r="J217" s="12" t="n">
        <v>4</v>
      </c>
      <c r="K217" s="12" t="s">
        <v>174</v>
      </c>
      <c r="L217" s="12" t="s">
        <v>2755</v>
      </c>
    </row>
    <row r="218" customFormat="false" ht="23.85" hidden="false" customHeight="false" outlineLevel="0" collapsed="false">
      <c r="A218" s="12" t="s">
        <v>1654</v>
      </c>
      <c r="B218" s="12" t="s">
        <v>3037</v>
      </c>
      <c r="C218" s="12" t="s">
        <v>577</v>
      </c>
      <c r="D218" s="12" t="s">
        <v>1385</v>
      </c>
      <c r="E218" s="13" t="s">
        <v>3038</v>
      </c>
      <c r="F218" s="12" t="s">
        <v>3037</v>
      </c>
      <c r="G218" s="12" t="s">
        <v>578</v>
      </c>
      <c r="H218" s="12"/>
      <c r="I218" s="12" t="s">
        <v>2344</v>
      </c>
      <c r="J218" s="12" t="n">
        <v>4</v>
      </c>
      <c r="K218" s="12" t="s">
        <v>174</v>
      </c>
      <c r="L218" s="12" t="s">
        <v>2755</v>
      </c>
    </row>
    <row r="219" customFormat="false" ht="23.85" hidden="false" customHeight="false" outlineLevel="0" collapsed="false">
      <c r="A219" s="12" t="s">
        <v>3039</v>
      </c>
      <c r="B219" s="12" t="s">
        <v>2588</v>
      </c>
      <c r="C219" s="12" t="s">
        <v>3040</v>
      </c>
      <c r="D219" s="12" t="s">
        <v>1385</v>
      </c>
      <c r="E219" s="13" t="s">
        <v>3041</v>
      </c>
      <c r="F219" s="12" t="s">
        <v>2588</v>
      </c>
      <c r="G219" s="12" t="s">
        <v>3042</v>
      </c>
      <c r="H219" s="12"/>
      <c r="I219" s="12" t="s">
        <v>2350</v>
      </c>
      <c r="J219" s="12" t="n">
        <v>3</v>
      </c>
      <c r="K219" s="12" t="s">
        <v>174</v>
      </c>
      <c r="L219" s="12" t="s">
        <v>2755</v>
      </c>
    </row>
    <row r="220" customFormat="false" ht="23.85" hidden="false" customHeight="false" outlineLevel="0" collapsed="false">
      <c r="A220" s="12" t="s">
        <v>3043</v>
      </c>
      <c r="B220" s="12" t="s">
        <v>2588</v>
      </c>
      <c r="C220" s="12" t="s">
        <v>3044</v>
      </c>
      <c r="D220" s="12" t="s">
        <v>1385</v>
      </c>
      <c r="E220" s="13" t="s">
        <v>3045</v>
      </c>
      <c r="F220" s="12" t="s">
        <v>2588</v>
      </c>
      <c r="G220" s="12" t="s">
        <v>3046</v>
      </c>
      <c r="H220" s="12"/>
      <c r="I220" s="12" t="s">
        <v>2350</v>
      </c>
      <c r="J220" s="12" t="n">
        <v>3</v>
      </c>
      <c r="K220" s="12" t="s">
        <v>174</v>
      </c>
      <c r="L220" s="12" t="s">
        <v>2755</v>
      </c>
    </row>
    <row r="221" customFormat="false" ht="15" hidden="false" customHeight="false" outlineLevel="0" collapsed="false">
      <c r="A221" s="12" t="s">
        <v>3047</v>
      </c>
      <c r="B221" s="12" t="s">
        <v>1083</v>
      </c>
      <c r="C221" s="12" t="s">
        <v>3048</v>
      </c>
      <c r="D221" s="12" t="s">
        <v>1385</v>
      </c>
      <c r="E221" s="13" t="s">
        <v>3049</v>
      </c>
      <c r="F221" s="12" t="s">
        <v>1083</v>
      </c>
      <c r="G221" s="12" t="s">
        <v>3050</v>
      </c>
      <c r="H221" s="12"/>
      <c r="I221" s="12" t="s">
        <v>2344</v>
      </c>
      <c r="J221" s="12" t="n">
        <v>4</v>
      </c>
      <c r="K221" s="12" t="s">
        <v>174</v>
      </c>
      <c r="L221" s="12" t="s">
        <v>2755</v>
      </c>
    </row>
    <row r="222" customFormat="false" ht="23.85" hidden="false" customHeight="false" outlineLevel="0" collapsed="false">
      <c r="A222" s="12" t="s">
        <v>1661</v>
      </c>
      <c r="B222" s="12" t="s">
        <v>1083</v>
      </c>
      <c r="C222" s="12" t="s">
        <v>1660</v>
      </c>
      <c r="D222" s="12" t="s">
        <v>1385</v>
      </c>
      <c r="E222" s="13" t="s">
        <v>3051</v>
      </c>
      <c r="F222" s="12" t="s">
        <v>1083</v>
      </c>
      <c r="G222" s="12" t="s">
        <v>3052</v>
      </c>
      <c r="H222" s="12"/>
      <c r="I222" s="12" t="s">
        <v>2344</v>
      </c>
      <c r="J222" s="12" t="n">
        <v>4</v>
      </c>
      <c r="K222" s="12" t="s">
        <v>174</v>
      </c>
      <c r="L222" s="12" t="s">
        <v>2755</v>
      </c>
    </row>
    <row r="223" customFormat="false" ht="15" hidden="false" customHeight="false" outlineLevel="0" collapsed="false">
      <c r="A223" s="12" t="s">
        <v>3053</v>
      </c>
      <c r="B223" s="12" t="s">
        <v>1083</v>
      </c>
      <c r="C223" s="12" t="s">
        <v>3054</v>
      </c>
      <c r="D223" s="12" t="s">
        <v>1385</v>
      </c>
      <c r="E223" s="13" t="s">
        <v>3055</v>
      </c>
      <c r="F223" s="12" t="s">
        <v>1083</v>
      </c>
      <c r="G223" s="12" t="s">
        <v>3056</v>
      </c>
      <c r="H223" s="12"/>
      <c r="I223" s="12" t="s">
        <v>2344</v>
      </c>
      <c r="J223" s="12" t="n">
        <v>4</v>
      </c>
      <c r="K223" s="12" t="s">
        <v>174</v>
      </c>
      <c r="L223" s="12" t="s">
        <v>2755</v>
      </c>
    </row>
    <row r="224" customFormat="false" ht="23.85" hidden="false" customHeight="false" outlineLevel="0" collapsed="false">
      <c r="A224" s="12" t="s">
        <v>1692</v>
      </c>
      <c r="B224" s="12" t="s">
        <v>3057</v>
      </c>
      <c r="C224" s="12" t="s">
        <v>3058</v>
      </c>
      <c r="D224" s="12" t="s">
        <v>1385</v>
      </c>
      <c r="E224" s="13" t="s">
        <v>3059</v>
      </c>
      <c r="F224" s="12" t="s">
        <v>3057</v>
      </c>
      <c r="G224" s="12" t="s">
        <v>3060</v>
      </c>
      <c r="H224" s="12"/>
      <c r="I224" s="12" t="s">
        <v>2350</v>
      </c>
      <c r="J224" s="12" t="n">
        <v>3</v>
      </c>
      <c r="K224" s="12" t="s">
        <v>174</v>
      </c>
      <c r="L224" s="12" t="s">
        <v>2755</v>
      </c>
    </row>
    <row r="225" customFormat="false" ht="15" hidden="false" customHeight="false" outlineLevel="0" collapsed="false">
      <c r="A225" s="12" t="s">
        <v>1689</v>
      </c>
      <c r="B225" s="12" t="s">
        <v>3061</v>
      </c>
      <c r="C225" s="12" t="s">
        <v>624</v>
      </c>
      <c r="D225" s="12" t="s">
        <v>1385</v>
      </c>
      <c r="E225" s="13" t="s">
        <v>3062</v>
      </c>
      <c r="F225" s="12" t="s">
        <v>3061</v>
      </c>
      <c r="G225" s="12" t="s">
        <v>3063</v>
      </c>
      <c r="H225" s="12"/>
      <c r="I225" s="12" t="s">
        <v>2350</v>
      </c>
      <c r="J225" s="12" t="n">
        <v>2</v>
      </c>
      <c r="K225" s="12" t="s">
        <v>174</v>
      </c>
      <c r="L225" s="12" t="s">
        <v>2755</v>
      </c>
    </row>
    <row r="226" customFormat="false" ht="15" hidden="false" customHeight="false" outlineLevel="0" collapsed="false">
      <c r="A226" s="12" t="s">
        <v>3064</v>
      </c>
      <c r="B226" s="12" t="s">
        <v>2349</v>
      </c>
      <c r="C226" s="12" t="s">
        <v>3065</v>
      </c>
      <c r="D226" s="12" t="s">
        <v>1385</v>
      </c>
      <c r="E226" s="13" t="s">
        <v>3066</v>
      </c>
      <c r="F226" s="12" t="s">
        <v>2349</v>
      </c>
      <c r="G226" s="12" t="s">
        <v>3067</v>
      </c>
      <c r="H226" s="12"/>
      <c r="I226" s="12" t="s">
        <v>2350</v>
      </c>
      <c r="J226" s="12" t="n">
        <v>3</v>
      </c>
      <c r="K226" s="12" t="s">
        <v>174</v>
      </c>
      <c r="L226" s="12" t="s">
        <v>2755</v>
      </c>
    </row>
    <row r="227" customFormat="false" ht="15" hidden="false" customHeight="false" outlineLevel="0" collapsed="false">
      <c r="A227" s="12" t="s">
        <v>3068</v>
      </c>
      <c r="B227" s="12" t="s">
        <v>3069</v>
      </c>
      <c r="C227" s="12" t="s">
        <v>3070</v>
      </c>
      <c r="D227" s="12" t="s">
        <v>1385</v>
      </c>
      <c r="E227" s="13" t="s">
        <v>3071</v>
      </c>
      <c r="F227" s="12" t="s">
        <v>3069</v>
      </c>
      <c r="G227" s="12" t="s">
        <v>3072</v>
      </c>
      <c r="H227" s="12"/>
      <c r="I227" s="12" t="s">
        <v>2350</v>
      </c>
      <c r="J227" s="12" t="n">
        <v>3</v>
      </c>
      <c r="K227" s="12" t="s">
        <v>174</v>
      </c>
      <c r="L227" s="12" t="s">
        <v>2755</v>
      </c>
    </row>
    <row r="228" customFormat="false" ht="23.85" hidden="false" customHeight="false" outlineLevel="0" collapsed="false">
      <c r="A228" s="12" t="s">
        <v>1703</v>
      </c>
      <c r="B228" s="12" t="s">
        <v>3073</v>
      </c>
      <c r="C228" s="12" t="s">
        <v>643</v>
      </c>
      <c r="D228" s="12" t="s">
        <v>1385</v>
      </c>
      <c r="E228" s="13" t="s">
        <v>3074</v>
      </c>
      <c r="F228" s="12" t="s">
        <v>3073</v>
      </c>
      <c r="G228" s="12" t="s">
        <v>646</v>
      </c>
      <c r="H228" s="12"/>
      <c r="I228" s="12" t="s">
        <v>2350</v>
      </c>
      <c r="J228" s="12" t="n">
        <v>3</v>
      </c>
      <c r="K228" s="12" t="s">
        <v>174</v>
      </c>
      <c r="L228" s="12" t="s">
        <v>2755</v>
      </c>
    </row>
    <row r="229" customFormat="false" ht="23.85" hidden="false" customHeight="false" outlineLevel="0" collapsed="false">
      <c r="A229" s="12" t="s">
        <v>2248</v>
      </c>
      <c r="B229" s="12" t="s">
        <v>3075</v>
      </c>
      <c r="C229" s="12" t="s">
        <v>3076</v>
      </c>
      <c r="D229" s="12" t="s">
        <v>1385</v>
      </c>
      <c r="E229" s="13" t="s">
        <v>3077</v>
      </c>
      <c r="F229" s="12" t="s">
        <v>3075</v>
      </c>
      <c r="G229" s="12" t="s">
        <v>3078</v>
      </c>
      <c r="H229" s="12"/>
      <c r="I229" s="12" t="s">
        <v>2350</v>
      </c>
      <c r="J229" s="12" t="n">
        <v>3</v>
      </c>
      <c r="K229" s="12" t="s">
        <v>174</v>
      </c>
      <c r="L229" s="12" t="s">
        <v>2755</v>
      </c>
    </row>
    <row r="230" customFormat="false" ht="15" hidden="false" customHeight="false" outlineLevel="0" collapsed="false">
      <c r="A230" s="12" t="s">
        <v>2252</v>
      </c>
      <c r="B230" s="12" t="s">
        <v>3079</v>
      </c>
      <c r="C230" s="12" t="s">
        <v>2546</v>
      </c>
      <c r="D230" s="12" t="s">
        <v>1385</v>
      </c>
      <c r="E230" s="13" t="s">
        <v>3080</v>
      </c>
      <c r="F230" s="12" t="s">
        <v>3079</v>
      </c>
      <c r="G230" s="12" t="s">
        <v>3081</v>
      </c>
      <c r="H230" s="12"/>
      <c r="I230" s="12" t="s">
        <v>2350</v>
      </c>
      <c r="J230" s="12" t="n">
        <v>3</v>
      </c>
      <c r="K230" s="12" t="s">
        <v>174</v>
      </c>
      <c r="L230" s="12" t="s">
        <v>2755</v>
      </c>
    </row>
    <row r="231" customFormat="false" ht="23.85" hidden="false" customHeight="false" outlineLevel="0" collapsed="false">
      <c r="A231" s="12" t="s">
        <v>1723</v>
      </c>
      <c r="B231" s="12" t="s">
        <v>2400</v>
      </c>
      <c r="C231" s="12" t="s">
        <v>670</v>
      </c>
      <c r="D231" s="12" t="s">
        <v>1379</v>
      </c>
      <c r="E231" s="13" t="s">
        <v>3082</v>
      </c>
      <c r="F231" s="12" t="s">
        <v>2400</v>
      </c>
      <c r="G231" s="12" t="s">
        <v>3083</v>
      </c>
      <c r="H231" s="12"/>
      <c r="I231" s="12" t="s">
        <v>2344</v>
      </c>
      <c r="J231" s="12" t="n">
        <v>4</v>
      </c>
      <c r="K231" s="12" t="s">
        <v>174</v>
      </c>
      <c r="L231" s="12" t="s">
        <v>2755</v>
      </c>
    </row>
    <row r="232" customFormat="false" ht="23.85" hidden="false" customHeight="false" outlineLevel="0" collapsed="false">
      <c r="A232" s="12" t="s">
        <v>3084</v>
      </c>
      <c r="B232" s="12" t="s">
        <v>2429</v>
      </c>
      <c r="C232" s="12" t="s">
        <v>3085</v>
      </c>
      <c r="D232" s="12" t="s">
        <v>1385</v>
      </c>
      <c r="E232" s="13" t="s">
        <v>3086</v>
      </c>
      <c r="F232" s="12" t="s">
        <v>2429</v>
      </c>
      <c r="G232" s="12" t="s">
        <v>3087</v>
      </c>
      <c r="H232" s="12"/>
      <c r="I232" s="12" t="s">
        <v>2350</v>
      </c>
      <c r="J232" s="12" t="n">
        <v>3</v>
      </c>
      <c r="K232" s="12" t="s">
        <v>174</v>
      </c>
      <c r="L232" s="12" t="s">
        <v>2755</v>
      </c>
    </row>
    <row r="233" customFormat="false" ht="23.85" hidden="false" customHeight="false" outlineLevel="0" collapsed="false">
      <c r="A233" s="12" t="s">
        <v>3088</v>
      </c>
      <c r="B233" s="12" t="s">
        <v>1310</v>
      </c>
      <c r="C233" s="12" t="s">
        <v>3089</v>
      </c>
      <c r="D233" s="12" t="s">
        <v>1385</v>
      </c>
      <c r="E233" s="13" t="s">
        <v>3090</v>
      </c>
      <c r="F233" s="12" t="s">
        <v>1310</v>
      </c>
      <c r="G233" s="12" t="s">
        <v>3091</v>
      </c>
      <c r="H233" s="12"/>
      <c r="I233" s="12" t="s">
        <v>2534</v>
      </c>
      <c r="J233" s="12" t="n">
        <v>1</v>
      </c>
      <c r="K233" s="12" t="s">
        <v>174</v>
      </c>
      <c r="L233" s="12" t="s">
        <v>2755</v>
      </c>
    </row>
    <row r="234" customFormat="false" ht="23.85" hidden="false" customHeight="false" outlineLevel="0" collapsed="false">
      <c r="A234" s="12" t="s">
        <v>3092</v>
      </c>
      <c r="B234" s="12" t="s">
        <v>3093</v>
      </c>
      <c r="C234" s="12" t="s">
        <v>3094</v>
      </c>
      <c r="D234" s="12" t="s">
        <v>1385</v>
      </c>
      <c r="E234" s="13" t="s">
        <v>3095</v>
      </c>
      <c r="F234" s="12" t="s">
        <v>3093</v>
      </c>
      <c r="G234" s="12" t="s">
        <v>3096</v>
      </c>
      <c r="H234" s="12"/>
      <c r="I234" s="12" t="s">
        <v>2350</v>
      </c>
      <c r="J234" s="12" t="n">
        <v>3</v>
      </c>
      <c r="K234" s="12" t="s">
        <v>174</v>
      </c>
      <c r="L234" s="12" t="s">
        <v>2755</v>
      </c>
    </row>
    <row r="235" customFormat="false" ht="23.85" hidden="false" customHeight="false" outlineLevel="0" collapsed="false">
      <c r="A235" s="12" t="s">
        <v>1761</v>
      </c>
      <c r="B235" s="12" t="s">
        <v>3097</v>
      </c>
      <c r="C235" s="12" t="s">
        <v>1313</v>
      </c>
      <c r="D235" s="12" t="s">
        <v>1385</v>
      </c>
      <c r="E235" s="13" t="s">
        <v>3098</v>
      </c>
      <c r="F235" s="12" t="s">
        <v>3097</v>
      </c>
      <c r="G235" s="12" t="s">
        <v>1316</v>
      </c>
      <c r="H235" s="12"/>
      <c r="I235" s="12" t="s">
        <v>2350</v>
      </c>
      <c r="J235" s="12" t="n">
        <v>3</v>
      </c>
      <c r="K235" s="12" t="s">
        <v>174</v>
      </c>
      <c r="L235" s="12" t="s">
        <v>2755</v>
      </c>
    </row>
    <row r="236" customFormat="false" ht="15" hidden="false" customHeight="false" outlineLevel="0" collapsed="false">
      <c r="A236" s="12" t="s">
        <v>3099</v>
      </c>
      <c r="B236" s="12" t="s">
        <v>3100</v>
      </c>
      <c r="C236" s="12" t="n">
        <v>2023</v>
      </c>
      <c r="D236" s="12" t="s">
        <v>1445</v>
      </c>
      <c r="E236" s="13" t="s">
        <v>3101</v>
      </c>
      <c r="F236" s="12" t="s">
        <v>3100</v>
      </c>
      <c r="G236" s="12" t="s">
        <v>3102</v>
      </c>
      <c r="H236" s="12"/>
      <c r="I236" s="12" t="s">
        <v>2344</v>
      </c>
      <c r="J236" s="12" t="n">
        <v>4</v>
      </c>
      <c r="K236" s="12" t="s">
        <v>174</v>
      </c>
      <c r="L236" s="12" t="s">
        <v>2755</v>
      </c>
    </row>
    <row r="237" customFormat="false" ht="23.85" hidden="false" customHeight="false" outlineLevel="0" collapsed="false">
      <c r="A237" s="12" t="s">
        <v>3103</v>
      </c>
      <c r="B237" s="12" t="s">
        <v>2468</v>
      </c>
      <c r="C237" s="12" t="s">
        <v>896</v>
      </c>
      <c r="D237" s="12" t="s">
        <v>1385</v>
      </c>
      <c r="E237" s="13" t="s">
        <v>3104</v>
      </c>
      <c r="F237" s="12" t="s">
        <v>2468</v>
      </c>
      <c r="G237" s="12" t="s">
        <v>3105</v>
      </c>
      <c r="H237" s="12"/>
      <c r="I237" s="12" t="s">
        <v>2350</v>
      </c>
      <c r="J237" s="12" t="n">
        <v>3</v>
      </c>
      <c r="K237" s="12" t="s">
        <v>174</v>
      </c>
      <c r="L237" s="12" t="s">
        <v>2755</v>
      </c>
    </row>
    <row r="238" customFormat="false" ht="15" hidden="false" customHeight="false" outlineLevel="0" collapsed="false">
      <c r="A238" s="12" t="s">
        <v>1775</v>
      </c>
      <c r="B238" s="12" t="s">
        <v>3106</v>
      </c>
      <c r="C238" s="12" t="s">
        <v>3107</v>
      </c>
      <c r="D238" s="12" t="s">
        <v>1385</v>
      </c>
      <c r="E238" s="13" t="s">
        <v>3108</v>
      </c>
      <c r="F238" s="12" t="s">
        <v>3106</v>
      </c>
      <c r="G238" s="12" t="s">
        <v>747</v>
      </c>
      <c r="H238" s="12"/>
      <c r="I238" s="12" t="s">
        <v>2350</v>
      </c>
      <c r="J238" s="12" t="n">
        <v>3</v>
      </c>
      <c r="K238" s="12" t="s">
        <v>174</v>
      </c>
      <c r="L238" s="12" t="s">
        <v>2755</v>
      </c>
    </row>
    <row r="239" customFormat="false" ht="23.85" hidden="false" customHeight="false" outlineLevel="0" collapsed="false">
      <c r="A239" s="12" t="s">
        <v>1781</v>
      </c>
      <c r="B239" s="12" t="s">
        <v>3109</v>
      </c>
      <c r="C239" s="12" t="s">
        <v>3110</v>
      </c>
      <c r="D239" s="12" t="s">
        <v>1385</v>
      </c>
      <c r="E239" s="13" t="s">
        <v>3111</v>
      </c>
      <c r="F239" s="12" t="s">
        <v>3109</v>
      </c>
      <c r="G239" s="12" t="s">
        <v>3112</v>
      </c>
      <c r="H239" s="12"/>
      <c r="I239" s="12" t="s">
        <v>2350</v>
      </c>
      <c r="J239" s="12" t="n">
        <v>3</v>
      </c>
      <c r="K239" s="12" t="s">
        <v>174</v>
      </c>
      <c r="L239" s="12" t="s">
        <v>2755</v>
      </c>
    </row>
    <row r="240" customFormat="false" ht="23.85" hidden="false" customHeight="false" outlineLevel="0" collapsed="false">
      <c r="A240" s="12" t="s">
        <v>1787</v>
      </c>
      <c r="B240" s="12" t="s">
        <v>3113</v>
      </c>
      <c r="C240" s="12" t="s">
        <v>3114</v>
      </c>
      <c r="D240" s="12" t="s">
        <v>1379</v>
      </c>
      <c r="E240" s="13" t="s">
        <v>3115</v>
      </c>
      <c r="F240" s="12" t="s">
        <v>3113</v>
      </c>
      <c r="G240" s="12" t="s">
        <v>3116</v>
      </c>
      <c r="H240" s="12"/>
      <c r="I240" s="12" t="s">
        <v>2534</v>
      </c>
      <c r="J240" s="12" t="n">
        <v>1</v>
      </c>
      <c r="K240" s="12" t="s">
        <v>174</v>
      </c>
      <c r="L240" s="12" t="s">
        <v>2755</v>
      </c>
    </row>
    <row r="241" customFormat="false" ht="23.85" hidden="false" customHeight="false" outlineLevel="0" collapsed="false">
      <c r="A241" s="12" t="s">
        <v>1790</v>
      </c>
      <c r="B241" s="12" t="s">
        <v>2663</v>
      </c>
      <c r="C241" s="12" t="s">
        <v>766</v>
      </c>
      <c r="D241" s="12" t="s">
        <v>1385</v>
      </c>
      <c r="E241" s="13" t="s">
        <v>3117</v>
      </c>
      <c r="F241" s="12" t="s">
        <v>2663</v>
      </c>
      <c r="G241" s="12" t="s">
        <v>768</v>
      </c>
      <c r="H241" s="12"/>
      <c r="I241" s="12" t="s">
        <v>2350</v>
      </c>
      <c r="J241" s="12" t="n">
        <v>3</v>
      </c>
      <c r="K241" s="12" t="s">
        <v>174</v>
      </c>
      <c r="L241" s="12" t="s">
        <v>2755</v>
      </c>
    </row>
    <row r="242" customFormat="false" ht="23.85" hidden="false" customHeight="false" outlineLevel="0" collapsed="false">
      <c r="A242" s="12" t="s">
        <v>3118</v>
      </c>
      <c r="B242" s="12" t="s">
        <v>3119</v>
      </c>
      <c r="C242" s="12" t="s">
        <v>3120</v>
      </c>
      <c r="D242" s="12" t="s">
        <v>1385</v>
      </c>
      <c r="E242" s="13" t="s">
        <v>3121</v>
      </c>
      <c r="F242" s="12" t="s">
        <v>3119</v>
      </c>
      <c r="G242" s="12" t="s">
        <v>3122</v>
      </c>
      <c r="H242" s="12"/>
      <c r="I242" s="12" t="s">
        <v>2350</v>
      </c>
      <c r="J242" s="12" t="n">
        <v>3</v>
      </c>
      <c r="K242" s="12" t="s">
        <v>174</v>
      </c>
      <c r="L242" s="12" t="s">
        <v>2755</v>
      </c>
    </row>
    <row r="243" customFormat="false" ht="23.85" hidden="false" customHeight="false" outlineLevel="0" collapsed="false">
      <c r="A243" s="12" t="s">
        <v>3123</v>
      </c>
      <c r="B243" s="12" t="s">
        <v>3109</v>
      </c>
      <c r="C243" s="12" t="s">
        <v>3124</v>
      </c>
      <c r="D243" s="12" t="s">
        <v>1385</v>
      </c>
      <c r="E243" s="13" t="s">
        <v>3125</v>
      </c>
      <c r="F243" s="12" t="s">
        <v>3109</v>
      </c>
      <c r="G243" s="12" t="s">
        <v>3126</v>
      </c>
      <c r="H243" s="12"/>
      <c r="I243" s="12" t="s">
        <v>2350</v>
      </c>
      <c r="J243" s="12" t="n">
        <v>3</v>
      </c>
      <c r="K243" s="12" t="s">
        <v>174</v>
      </c>
      <c r="L243" s="12" t="s">
        <v>2755</v>
      </c>
    </row>
    <row r="244" customFormat="false" ht="23.85" hidden="false" customHeight="false" outlineLevel="0" collapsed="false">
      <c r="A244" s="12" t="s">
        <v>1798</v>
      </c>
      <c r="B244" s="12" t="s">
        <v>2468</v>
      </c>
      <c r="C244" s="12" t="s">
        <v>791</v>
      </c>
      <c r="D244" s="12" t="s">
        <v>1385</v>
      </c>
      <c r="E244" s="13" t="s">
        <v>3127</v>
      </c>
      <c r="F244" s="12" t="s">
        <v>2468</v>
      </c>
      <c r="G244" s="12" t="s">
        <v>3128</v>
      </c>
      <c r="H244" s="12"/>
      <c r="I244" s="12" t="s">
        <v>2350</v>
      </c>
      <c r="J244" s="12" t="n">
        <v>3</v>
      </c>
      <c r="K244" s="12" t="s">
        <v>174</v>
      </c>
      <c r="L244" s="12" t="s">
        <v>2755</v>
      </c>
    </row>
    <row r="245" customFormat="false" ht="23.85" hidden="false" customHeight="false" outlineLevel="0" collapsed="false">
      <c r="A245" s="12" t="s">
        <v>1801</v>
      </c>
      <c r="B245" s="12" t="s">
        <v>3129</v>
      </c>
      <c r="C245" s="12" t="s">
        <v>3130</v>
      </c>
      <c r="D245" s="12" t="s">
        <v>1385</v>
      </c>
      <c r="E245" s="13" t="s">
        <v>3131</v>
      </c>
      <c r="F245" s="12" t="s">
        <v>3129</v>
      </c>
      <c r="G245" s="12" t="s">
        <v>3132</v>
      </c>
      <c r="H245" s="12"/>
      <c r="I245" s="12" t="s">
        <v>2344</v>
      </c>
      <c r="J245" s="12" t="n">
        <v>4</v>
      </c>
      <c r="K245" s="12" t="s">
        <v>174</v>
      </c>
      <c r="L245" s="12" t="s">
        <v>2755</v>
      </c>
    </row>
    <row r="246" customFormat="false" ht="23.85" hidden="false" customHeight="false" outlineLevel="0" collapsed="false">
      <c r="A246" s="12" t="s">
        <v>1804</v>
      </c>
      <c r="B246" s="12" t="s">
        <v>2341</v>
      </c>
      <c r="C246" s="12" t="s">
        <v>792</v>
      </c>
      <c r="D246" s="12" t="s">
        <v>1385</v>
      </c>
      <c r="E246" s="13" t="s">
        <v>3133</v>
      </c>
      <c r="F246" s="12" t="s">
        <v>2341</v>
      </c>
      <c r="G246" s="12" t="s">
        <v>3134</v>
      </c>
      <c r="H246" s="12"/>
      <c r="I246" s="12" t="s">
        <v>2344</v>
      </c>
      <c r="J246" s="12" t="n">
        <v>4</v>
      </c>
      <c r="K246" s="12" t="s">
        <v>174</v>
      </c>
      <c r="L246" s="12" t="s">
        <v>2755</v>
      </c>
    </row>
    <row r="247" customFormat="false" ht="15" hidden="false" customHeight="false" outlineLevel="0" collapsed="false">
      <c r="A247" s="12" t="s">
        <v>3135</v>
      </c>
      <c r="B247" s="12" t="s">
        <v>3129</v>
      </c>
      <c r="C247" s="12" t="s">
        <v>3136</v>
      </c>
      <c r="D247" s="12" t="s">
        <v>1385</v>
      </c>
      <c r="E247" s="13" t="s">
        <v>3137</v>
      </c>
      <c r="F247" s="12" t="s">
        <v>3129</v>
      </c>
      <c r="G247" s="12" t="s">
        <v>3138</v>
      </c>
      <c r="H247" s="12"/>
      <c r="I247" s="12" t="s">
        <v>2344</v>
      </c>
      <c r="J247" s="12" t="n">
        <v>4</v>
      </c>
      <c r="K247" s="12" t="s">
        <v>174</v>
      </c>
      <c r="L247" s="12" t="s">
        <v>2755</v>
      </c>
    </row>
    <row r="248" customFormat="false" ht="23.85" hidden="false" customHeight="false" outlineLevel="0" collapsed="false">
      <c r="A248" s="12" t="s">
        <v>1807</v>
      </c>
      <c r="B248" s="12" t="s">
        <v>2663</v>
      </c>
      <c r="C248" s="12" t="s">
        <v>790</v>
      </c>
      <c r="D248" s="12" t="s">
        <v>1385</v>
      </c>
      <c r="E248" s="13" t="s">
        <v>3139</v>
      </c>
      <c r="F248" s="12" t="s">
        <v>2663</v>
      </c>
      <c r="G248" s="12" t="s">
        <v>3140</v>
      </c>
      <c r="H248" s="12"/>
      <c r="I248" s="12" t="s">
        <v>2350</v>
      </c>
      <c r="J248" s="12" t="n">
        <v>3</v>
      </c>
      <c r="K248" s="12" t="s">
        <v>174</v>
      </c>
      <c r="L248" s="12" t="s">
        <v>2755</v>
      </c>
    </row>
    <row r="249" customFormat="false" ht="15" hidden="false" customHeight="false" outlineLevel="0" collapsed="false">
      <c r="A249" s="12" t="s">
        <v>3141</v>
      </c>
      <c r="B249" s="12" t="s">
        <v>815</v>
      </c>
      <c r="C249" s="12" t="n">
        <v>2022</v>
      </c>
      <c r="D249" s="12" t="s">
        <v>1445</v>
      </c>
      <c r="E249" s="13" t="s">
        <v>3142</v>
      </c>
      <c r="F249" s="12" t="s">
        <v>815</v>
      </c>
      <c r="G249" s="12" t="s">
        <v>3143</v>
      </c>
      <c r="H249" s="12"/>
      <c r="I249" s="12" t="s">
        <v>2534</v>
      </c>
      <c r="J249" s="12" t="n">
        <v>1</v>
      </c>
      <c r="K249" s="12" t="s">
        <v>174</v>
      </c>
      <c r="L249" s="12" t="s">
        <v>2755</v>
      </c>
    </row>
    <row r="250" customFormat="false" ht="23.85" hidden="false" customHeight="false" outlineLevel="0" collapsed="false">
      <c r="A250" s="12" t="s">
        <v>3144</v>
      </c>
      <c r="B250" s="12" t="s">
        <v>3145</v>
      </c>
      <c r="C250" s="12" t="s">
        <v>3146</v>
      </c>
      <c r="D250" s="12" t="s">
        <v>1385</v>
      </c>
      <c r="E250" s="13" t="s">
        <v>3147</v>
      </c>
      <c r="F250" s="12" t="s">
        <v>3145</v>
      </c>
      <c r="G250" s="12" t="s">
        <v>3148</v>
      </c>
      <c r="H250" s="12"/>
      <c r="I250" s="12" t="s">
        <v>2350</v>
      </c>
      <c r="J250" s="12" t="n">
        <v>3</v>
      </c>
      <c r="K250" s="12" t="s">
        <v>174</v>
      </c>
      <c r="L250" s="12" t="s">
        <v>2755</v>
      </c>
    </row>
    <row r="251" customFormat="false" ht="23.85" hidden="false" customHeight="false" outlineLevel="0" collapsed="false">
      <c r="A251" s="12" t="s">
        <v>3149</v>
      </c>
      <c r="B251" s="12" t="s">
        <v>3150</v>
      </c>
      <c r="C251" s="12" t="s">
        <v>2734</v>
      </c>
      <c r="D251" s="12" t="s">
        <v>1385</v>
      </c>
      <c r="E251" s="13" t="s">
        <v>3151</v>
      </c>
      <c r="F251" s="12" t="s">
        <v>3150</v>
      </c>
      <c r="G251" s="12" t="s">
        <v>3152</v>
      </c>
      <c r="H251" s="12"/>
      <c r="I251" s="12" t="s">
        <v>2385</v>
      </c>
      <c r="J251" s="12" t="n">
        <v>2</v>
      </c>
      <c r="K251" s="12" t="s">
        <v>174</v>
      </c>
      <c r="L251" s="12" t="s">
        <v>2755</v>
      </c>
    </row>
    <row r="252" customFormat="false" ht="23.85" hidden="false" customHeight="false" outlineLevel="0" collapsed="false">
      <c r="A252" s="12" t="s">
        <v>3153</v>
      </c>
      <c r="B252" s="12" t="s">
        <v>3154</v>
      </c>
      <c r="C252" s="12" t="s">
        <v>430</v>
      </c>
      <c r="D252" s="12" t="s">
        <v>1385</v>
      </c>
      <c r="E252" s="13" t="s">
        <v>3155</v>
      </c>
      <c r="F252" s="12" t="s">
        <v>3154</v>
      </c>
      <c r="G252" s="12" t="s">
        <v>3156</v>
      </c>
      <c r="H252" s="12"/>
      <c r="I252" s="12" t="s">
        <v>2385</v>
      </c>
      <c r="J252" s="12" t="n">
        <v>2</v>
      </c>
      <c r="K252" s="12" t="s">
        <v>174</v>
      </c>
      <c r="L252" s="12" t="s">
        <v>2755</v>
      </c>
    </row>
    <row r="253" customFormat="false" ht="23.85" hidden="false" customHeight="false" outlineLevel="0" collapsed="false">
      <c r="A253" s="12" t="s">
        <v>1815</v>
      </c>
      <c r="B253" s="12" t="s">
        <v>3097</v>
      </c>
      <c r="C253" s="12" t="s">
        <v>817</v>
      </c>
      <c r="D253" s="12" t="s">
        <v>1385</v>
      </c>
      <c r="E253" s="13" t="s">
        <v>3157</v>
      </c>
      <c r="F253" s="12" t="s">
        <v>3097</v>
      </c>
      <c r="G253" s="12" t="s">
        <v>3158</v>
      </c>
      <c r="H253" s="12"/>
      <c r="I253" s="12" t="s">
        <v>2350</v>
      </c>
      <c r="J253" s="12" t="n">
        <v>3</v>
      </c>
      <c r="K253" s="12" t="s">
        <v>174</v>
      </c>
      <c r="L253" s="12" t="s">
        <v>2755</v>
      </c>
    </row>
    <row r="254" customFormat="false" ht="15" hidden="false" customHeight="false" outlineLevel="0" collapsed="false">
      <c r="A254" s="12" t="s">
        <v>3159</v>
      </c>
      <c r="B254" s="12" t="s">
        <v>3160</v>
      </c>
      <c r="C254" s="12" t="s">
        <v>3161</v>
      </c>
      <c r="D254" s="12" t="s">
        <v>1379</v>
      </c>
      <c r="E254" s="13" t="s">
        <v>3162</v>
      </c>
      <c r="F254" s="12" t="s">
        <v>3160</v>
      </c>
      <c r="G254" s="12" t="s">
        <v>3163</v>
      </c>
      <c r="H254" s="12"/>
      <c r="I254" s="12" t="s">
        <v>2344</v>
      </c>
      <c r="J254" s="12" t="n">
        <v>4</v>
      </c>
      <c r="K254" s="12" t="s">
        <v>174</v>
      </c>
      <c r="L254" s="12" t="s">
        <v>2755</v>
      </c>
    </row>
    <row r="255" customFormat="false" ht="15" hidden="false" customHeight="false" outlineLevel="0" collapsed="false">
      <c r="A255" s="12" t="s">
        <v>3164</v>
      </c>
      <c r="B255" s="12" t="s">
        <v>2341</v>
      </c>
      <c r="C255" s="12" t="s">
        <v>181</v>
      </c>
      <c r="D255" s="12" t="s">
        <v>1385</v>
      </c>
      <c r="E255" s="13" t="s">
        <v>3165</v>
      </c>
      <c r="F255" s="12" t="s">
        <v>2341</v>
      </c>
      <c r="G255" s="12" t="s">
        <v>3166</v>
      </c>
      <c r="H255" s="12"/>
      <c r="I255" s="12" t="s">
        <v>2344</v>
      </c>
      <c r="J255" s="12" t="n">
        <v>4</v>
      </c>
      <c r="K255" s="12" t="s">
        <v>174</v>
      </c>
      <c r="L255" s="12" t="s">
        <v>2755</v>
      </c>
    </row>
    <row r="256" customFormat="false" ht="15" hidden="false" customHeight="false" outlineLevel="0" collapsed="false">
      <c r="A256" s="12" t="s">
        <v>3167</v>
      </c>
      <c r="B256" s="12" t="s">
        <v>3168</v>
      </c>
      <c r="C256" s="12"/>
      <c r="D256" s="12"/>
      <c r="E256" s="13" t="s">
        <v>3169</v>
      </c>
      <c r="F256" s="12" t="s">
        <v>3168</v>
      </c>
      <c r="G256" s="12" t="s">
        <v>3170</v>
      </c>
      <c r="H256" s="12"/>
      <c r="I256" s="12" t="s">
        <v>2385</v>
      </c>
      <c r="J256" s="12" t="n">
        <v>2</v>
      </c>
      <c r="K256" s="12" t="s">
        <v>174</v>
      </c>
      <c r="L256" s="12" t="s">
        <v>2755</v>
      </c>
    </row>
    <row r="257" customFormat="false" ht="15" hidden="false" customHeight="false" outlineLevel="0" collapsed="false">
      <c r="A257" s="12" t="s">
        <v>3171</v>
      </c>
      <c r="B257" s="12" t="s">
        <v>3172</v>
      </c>
      <c r="C257" s="12" t="s">
        <v>3173</v>
      </c>
      <c r="D257" s="12" t="s">
        <v>1385</v>
      </c>
      <c r="E257" s="13" t="s">
        <v>3174</v>
      </c>
      <c r="F257" s="12" t="s">
        <v>3172</v>
      </c>
      <c r="G257" s="12" t="s">
        <v>3175</v>
      </c>
      <c r="H257" s="12"/>
      <c r="I257" s="12" t="s">
        <v>2385</v>
      </c>
      <c r="J257" s="12" t="n">
        <v>2</v>
      </c>
      <c r="K257" s="12" t="s">
        <v>174</v>
      </c>
      <c r="L257" s="12" t="s">
        <v>2755</v>
      </c>
    </row>
    <row r="258" customFormat="false" ht="15" hidden="false" customHeight="false" outlineLevel="0" collapsed="false">
      <c r="A258" s="12" t="s">
        <v>3176</v>
      </c>
      <c r="B258" s="12" t="s">
        <v>3177</v>
      </c>
      <c r="C258" s="12"/>
      <c r="D258" s="12"/>
      <c r="E258" s="13" t="s">
        <v>3178</v>
      </c>
      <c r="F258" s="12" t="s">
        <v>3177</v>
      </c>
      <c r="G258" s="12" t="s">
        <v>3179</v>
      </c>
      <c r="H258" s="12"/>
      <c r="I258" s="12" t="s">
        <v>2344</v>
      </c>
      <c r="J258" s="12" t="n">
        <v>4</v>
      </c>
      <c r="K258" s="12" t="s">
        <v>174</v>
      </c>
      <c r="L258" s="12" t="s">
        <v>2755</v>
      </c>
    </row>
    <row r="259" customFormat="false" ht="15" hidden="false" customHeight="false" outlineLevel="0" collapsed="false">
      <c r="A259" s="12" t="s">
        <v>1867</v>
      </c>
      <c r="B259" s="12" t="s">
        <v>2410</v>
      </c>
      <c r="C259" s="12" t="s">
        <v>3180</v>
      </c>
      <c r="D259" s="12" t="s">
        <v>1385</v>
      </c>
      <c r="E259" s="13" t="s">
        <v>3181</v>
      </c>
      <c r="F259" s="12" t="s">
        <v>2410</v>
      </c>
      <c r="G259" s="12" t="s">
        <v>3182</v>
      </c>
      <c r="H259" s="12"/>
      <c r="I259" s="12" t="s">
        <v>2350</v>
      </c>
      <c r="J259" s="12" t="n">
        <v>3</v>
      </c>
      <c r="K259" s="12" t="s">
        <v>174</v>
      </c>
      <c r="L259" s="12" t="s">
        <v>2755</v>
      </c>
    </row>
    <row r="260" customFormat="false" ht="15" hidden="false" customHeight="false" outlineLevel="0" collapsed="false">
      <c r="A260" s="12" t="s">
        <v>3183</v>
      </c>
      <c r="B260" s="12" t="s">
        <v>3184</v>
      </c>
      <c r="C260" s="12" t="s">
        <v>3185</v>
      </c>
      <c r="D260" s="12" t="s">
        <v>1385</v>
      </c>
      <c r="E260" s="13" t="s">
        <v>3186</v>
      </c>
      <c r="F260" s="12" t="s">
        <v>3184</v>
      </c>
      <c r="G260" s="12" t="s">
        <v>3187</v>
      </c>
      <c r="H260" s="12"/>
      <c r="I260" s="12" t="s">
        <v>2385</v>
      </c>
      <c r="J260" s="12" t="n">
        <v>2</v>
      </c>
      <c r="K260" s="12" t="s">
        <v>174</v>
      </c>
      <c r="L260" s="12" t="s">
        <v>2755</v>
      </c>
    </row>
    <row r="261" customFormat="false" ht="15" hidden="false" customHeight="false" outlineLevel="0" collapsed="false">
      <c r="A261" s="12" t="s">
        <v>3188</v>
      </c>
      <c r="B261" s="12" t="s">
        <v>2410</v>
      </c>
      <c r="C261" s="12" t="s">
        <v>3189</v>
      </c>
      <c r="D261" s="12" t="s">
        <v>1385</v>
      </c>
      <c r="E261" s="13" t="s">
        <v>3190</v>
      </c>
      <c r="F261" s="12" t="s">
        <v>2410</v>
      </c>
      <c r="G261" s="12" t="s">
        <v>3191</v>
      </c>
      <c r="H261" s="12"/>
      <c r="I261" s="12" t="s">
        <v>2350</v>
      </c>
      <c r="J261" s="12" t="n">
        <v>3</v>
      </c>
      <c r="K261" s="12" t="s">
        <v>174</v>
      </c>
      <c r="L261" s="12" t="s">
        <v>2755</v>
      </c>
    </row>
    <row r="262" customFormat="false" ht="23.85" hidden="false" customHeight="false" outlineLevel="0" collapsed="false">
      <c r="A262" s="12" t="s">
        <v>1870</v>
      </c>
      <c r="B262" s="12" t="s">
        <v>3192</v>
      </c>
      <c r="C262" s="12" t="s">
        <v>1873</v>
      </c>
      <c r="D262" s="12" t="s">
        <v>1385</v>
      </c>
      <c r="E262" s="13" t="s">
        <v>3193</v>
      </c>
      <c r="F262" s="12" t="s">
        <v>3192</v>
      </c>
      <c r="G262" s="12" t="s">
        <v>3194</v>
      </c>
      <c r="H262" s="12"/>
      <c r="I262" s="12" t="s">
        <v>2385</v>
      </c>
      <c r="J262" s="12" t="n">
        <v>2</v>
      </c>
      <c r="K262" s="12" t="s">
        <v>174</v>
      </c>
      <c r="L262" s="12" t="s">
        <v>2755</v>
      </c>
    </row>
    <row r="263" customFormat="false" ht="15" hidden="false" customHeight="false" outlineLevel="0" collapsed="false">
      <c r="A263" s="12" t="s">
        <v>3195</v>
      </c>
      <c r="B263" s="12" t="s">
        <v>3196</v>
      </c>
      <c r="C263" s="12"/>
      <c r="D263" s="12"/>
      <c r="E263" s="13" t="s">
        <v>3197</v>
      </c>
      <c r="F263" s="12" t="s">
        <v>3196</v>
      </c>
      <c r="G263" s="12" t="s">
        <v>866</v>
      </c>
      <c r="H263" s="12"/>
      <c r="I263" s="12" t="s">
        <v>2344</v>
      </c>
      <c r="J263" s="12" t="n">
        <v>4</v>
      </c>
      <c r="K263" s="12" t="s">
        <v>174</v>
      </c>
      <c r="L263" s="12" t="s">
        <v>2755</v>
      </c>
    </row>
    <row r="264" customFormat="false" ht="15" hidden="false" customHeight="false" outlineLevel="0" collapsed="false">
      <c r="A264" s="12" t="s">
        <v>1882</v>
      </c>
      <c r="B264" s="12" t="s">
        <v>2349</v>
      </c>
      <c r="C264" s="12" t="s">
        <v>1881</v>
      </c>
      <c r="D264" s="12" t="s">
        <v>1385</v>
      </c>
      <c r="E264" s="13" t="s">
        <v>3198</v>
      </c>
      <c r="F264" s="12" t="s">
        <v>2349</v>
      </c>
      <c r="G264" s="12" t="s">
        <v>3199</v>
      </c>
      <c r="H264" s="12"/>
      <c r="I264" s="12" t="s">
        <v>2350</v>
      </c>
      <c r="J264" s="12" t="n">
        <v>3</v>
      </c>
      <c r="K264" s="12" t="s">
        <v>174</v>
      </c>
      <c r="L264" s="12" t="s">
        <v>2755</v>
      </c>
    </row>
    <row r="265" customFormat="false" ht="15" hidden="false" customHeight="false" outlineLevel="0" collapsed="false">
      <c r="A265" s="12" t="s">
        <v>1887</v>
      </c>
      <c r="B265" s="12" t="s">
        <v>3061</v>
      </c>
      <c r="C265" s="12" t="s">
        <v>888</v>
      </c>
      <c r="D265" s="12" t="s">
        <v>1385</v>
      </c>
      <c r="E265" s="13" t="s">
        <v>3200</v>
      </c>
      <c r="F265" s="12" t="s">
        <v>3061</v>
      </c>
      <c r="G265" s="12" t="s">
        <v>3201</v>
      </c>
      <c r="H265" s="12"/>
      <c r="I265" s="12" t="s">
        <v>2350</v>
      </c>
      <c r="J265" s="12" t="n">
        <v>2</v>
      </c>
      <c r="K265" s="12" t="s">
        <v>174</v>
      </c>
      <c r="L265" s="12" t="s">
        <v>2755</v>
      </c>
    </row>
    <row r="266" customFormat="false" ht="15" hidden="false" customHeight="false" outlineLevel="0" collapsed="false">
      <c r="A266" s="12" t="s">
        <v>1893</v>
      </c>
      <c r="B266" s="12" t="s">
        <v>893</v>
      </c>
      <c r="C266" s="12" t="s">
        <v>887</v>
      </c>
      <c r="D266" s="12" t="s">
        <v>1385</v>
      </c>
      <c r="E266" s="13" t="s">
        <v>3202</v>
      </c>
      <c r="F266" s="12" t="s">
        <v>893</v>
      </c>
      <c r="G266" s="12" t="s">
        <v>3203</v>
      </c>
      <c r="H266" s="12"/>
      <c r="I266" s="12" t="s">
        <v>2344</v>
      </c>
      <c r="J266" s="12" t="n">
        <v>4</v>
      </c>
      <c r="K266" s="12" t="s">
        <v>174</v>
      </c>
      <c r="L266" s="12" t="s">
        <v>2755</v>
      </c>
    </row>
    <row r="267" customFormat="false" ht="23.85" hidden="false" customHeight="false" outlineLevel="0" collapsed="false">
      <c r="A267" s="12" t="s">
        <v>1896</v>
      </c>
      <c r="B267" s="12" t="s">
        <v>3204</v>
      </c>
      <c r="C267" s="12" t="s">
        <v>896</v>
      </c>
      <c r="D267" s="12" t="s">
        <v>1385</v>
      </c>
      <c r="E267" s="13" t="s">
        <v>3205</v>
      </c>
      <c r="F267" s="12" t="s">
        <v>3204</v>
      </c>
      <c r="G267" s="12" t="s">
        <v>3206</v>
      </c>
      <c r="H267" s="12"/>
      <c r="I267" s="12" t="s">
        <v>2385</v>
      </c>
      <c r="J267" s="12" t="n">
        <v>2</v>
      </c>
      <c r="K267" s="12" t="s">
        <v>174</v>
      </c>
      <c r="L267" s="12" t="s">
        <v>2755</v>
      </c>
    </row>
    <row r="268" customFormat="false" ht="15" hidden="false" customHeight="false" outlineLevel="0" collapsed="false">
      <c r="A268" s="12" t="s">
        <v>1899</v>
      </c>
      <c r="B268" s="12" t="s">
        <v>3207</v>
      </c>
      <c r="C268" s="12" t="s">
        <v>895</v>
      </c>
      <c r="D268" s="12" t="s">
        <v>1379</v>
      </c>
      <c r="E268" s="13" t="s">
        <v>3208</v>
      </c>
      <c r="F268" s="12" t="s">
        <v>3207</v>
      </c>
      <c r="G268" s="12" t="s">
        <v>3209</v>
      </c>
      <c r="H268" s="12"/>
      <c r="I268" s="12" t="s">
        <v>2344</v>
      </c>
      <c r="J268" s="12" t="n">
        <v>4</v>
      </c>
      <c r="K268" s="12" t="s">
        <v>174</v>
      </c>
      <c r="L268" s="12" t="s">
        <v>2755</v>
      </c>
    </row>
    <row r="269" customFormat="false" ht="15" hidden="false" customHeight="false" outlineLevel="0" collapsed="false">
      <c r="A269" s="12" t="s">
        <v>3210</v>
      </c>
      <c r="B269" s="12" t="s">
        <v>2403</v>
      </c>
      <c r="C269" s="12"/>
      <c r="D269" s="12"/>
      <c r="E269" s="13" t="s">
        <v>3211</v>
      </c>
      <c r="F269" s="12" t="s">
        <v>2403</v>
      </c>
      <c r="G269" s="12" t="s">
        <v>3212</v>
      </c>
      <c r="H269" s="12"/>
      <c r="I269" s="12" t="s">
        <v>2344</v>
      </c>
      <c r="J269" s="12" t="n">
        <v>4</v>
      </c>
      <c r="K269" s="12" t="s">
        <v>174</v>
      </c>
      <c r="L269" s="12" t="s">
        <v>2755</v>
      </c>
    </row>
    <row r="270" customFormat="false" ht="15" hidden="false" customHeight="false" outlineLevel="0" collapsed="false">
      <c r="A270" s="12" t="s">
        <v>3213</v>
      </c>
      <c r="B270" s="12" t="s">
        <v>3214</v>
      </c>
      <c r="C270" s="12" t="s">
        <v>3215</v>
      </c>
      <c r="D270" s="12" t="s">
        <v>1385</v>
      </c>
      <c r="E270" s="13" t="s">
        <v>3216</v>
      </c>
      <c r="F270" s="12" t="s">
        <v>3214</v>
      </c>
      <c r="G270" s="12" t="s">
        <v>3217</v>
      </c>
      <c r="H270" s="12"/>
      <c r="I270" s="12" t="s">
        <v>2385</v>
      </c>
      <c r="J270" s="12" t="n">
        <v>2</v>
      </c>
      <c r="K270" s="12" t="s">
        <v>174</v>
      </c>
      <c r="L270" s="12" t="s">
        <v>2755</v>
      </c>
    </row>
    <row r="271" customFormat="false" ht="15" hidden="false" customHeight="false" outlineLevel="0" collapsed="false">
      <c r="A271" s="12" t="s">
        <v>1907</v>
      </c>
      <c r="B271" s="12" t="s">
        <v>3218</v>
      </c>
      <c r="C271" s="12" t="s">
        <v>913</v>
      </c>
      <c r="D271" s="12" t="s">
        <v>1385</v>
      </c>
      <c r="E271" s="13" t="s">
        <v>3219</v>
      </c>
      <c r="F271" s="12" t="s">
        <v>3218</v>
      </c>
      <c r="G271" s="12" t="s">
        <v>3220</v>
      </c>
      <c r="H271" s="12"/>
      <c r="I271" s="12" t="s">
        <v>2350</v>
      </c>
      <c r="J271" s="12" t="n">
        <v>3</v>
      </c>
      <c r="K271" s="12" t="s">
        <v>174</v>
      </c>
      <c r="L271" s="12" t="s">
        <v>2755</v>
      </c>
    </row>
    <row r="272" customFormat="false" ht="23.85" hidden="false" customHeight="false" outlineLevel="0" collapsed="false">
      <c r="A272" s="12" t="s">
        <v>3221</v>
      </c>
      <c r="B272" s="12" t="s">
        <v>3222</v>
      </c>
      <c r="C272" s="12" t="s">
        <v>913</v>
      </c>
      <c r="D272" s="12" t="s">
        <v>1385</v>
      </c>
      <c r="E272" s="13" t="s">
        <v>3223</v>
      </c>
      <c r="F272" s="12" t="s">
        <v>3222</v>
      </c>
      <c r="G272" s="12" t="s">
        <v>3224</v>
      </c>
      <c r="H272" s="12"/>
      <c r="I272" s="12" t="s">
        <v>2350</v>
      </c>
      <c r="J272" s="12" t="n">
        <v>3</v>
      </c>
      <c r="K272" s="12" t="s">
        <v>174</v>
      </c>
      <c r="L272" s="12" t="s">
        <v>2755</v>
      </c>
    </row>
    <row r="273" customFormat="false" ht="23.85" hidden="false" customHeight="false" outlineLevel="0" collapsed="false">
      <c r="A273" s="12" t="s">
        <v>3225</v>
      </c>
      <c r="B273" s="12" t="s">
        <v>3226</v>
      </c>
      <c r="C273" s="12" t="s">
        <v>3227</v>
      </c>
      <c r="D273" s="12" t="s">
        <v>1385</v>
      </c>
      <c r="E273" s="13" t="s">
        <v>3228</v>
      </c>
      <c r="F273" s="12" t="s">
        <v>3226</v>
      </c>
      <c r="G273" s="12" t="s">
        <v>914</v>
      </c>
      <c r="H273" s="12"/>
      <c r="I273" s="12" t="s">
        <v>2344</v>
      </c>
      <c r="J273" s="12" t="n">
        <v>4</v>
      </c>
      <c r="K273" s="12" t="s">
        <v>174</v>
      </c>
      <c r="L273" s="12" t="s">
        <v>2755</v>
      </c>
    </row>
    <row r="274" customFormat="false" ht="23.85" hidden="false" customHeight="false" outlineLevel="0" collapsed="false">
      <c r="A274" s="12" t="s">
        <v>1954</v>
      </c>
      <c r="B274" s="12" t="s">
        <v>971</v>
      </c>
      <c r="C274" s="12" t="s">
        <v>972</v>
      </c>
      <c r="D274" s="12" t="s">
        <v>1385</v>
      </c>
      <c r="E274" s="13" t="s">
        <v>3229</v>
      </c>
      <c r="F274" s="12" t="s">
        <v>971</v>
      </c>
      <c r="G274" s="12" t="s">
        <v>3230</v>
      </c>
      <c r="H274" s="12"/>
      <c r="I274" s="12" t="s">
        <v>2344</v>
      </c>
      <c r="J274" s="12" t="n">
        <v>4</v>
      </c>
      <c r="K274" s="12" t="s">
        <v>174</v>
      </c>
      <c r="L274" s="12" t="s">
        <v>2755</v>
      </c>
    </row>
    <row r="275" customFormat="false" ht="23.85" hidden="false" customHeight="false" outlineLevel="0" collapsed="false">
      <c r="A275" s="12" t="s">
        <v>1957</v>
      </c>
      <c r="B275" s="12" t="s">
        <v>971</v>
      </c>
      <c r="C275" s="12" t="s">
        <v>972</v>
      </c>
      <c r="D275" s="12" t="s">
        <v>1385</v>
      </c>
      <c r="E275" s="13" t="s">
        <v>3231</v>
      </c>
      <c r="F275" s="12" t="s">
        <v>971</v>
      </c>
      <c r="G275" s="12" t="s">
        <v>3232</v>
      </c>
      <c r="H275" s="12"/>
      <c r="I275" s="12" t="s">
        <v>2344</v>
      </c>
      <c r="J275" s="12" t="n">
        <v>4</v>
      </c>
      <c r="K275" s="12" t="s">
        <v>174</v>
      </c>
      <c r="L275" s="12" t="s">
        <v>2755</v>
      </c>
    </row>
    <row r="276" customFormat="false" ht="15" hidden="false" customHeight="false" outlineLevel="0" collapsed="false">
      <c r="A276" s="12" t="s">
        <v>1964</v>
      </c>
      <c r="B276" s="12" t="s">
        <v>2400</v>
      </c>
      <c r="C276" s="12" t="s">
        <v>2345</v>
      </c>
      <c r="D276" s="12" t="s">
        <v>1385</v>
      </c>
      <c r="E276" s="13" t="s">
        <v>3233</v>
      </c>
      <c r="F276" s="12" t="s">
        <v>2400</v>
      </c>
      <c r="G276" s="12" t="s">
        <v>3234</v>
      </c>
      <c r="H276" s="12"/>
      <c r="I276" s="12" t="s">
        <v>2344</v>
      </c>
      <c r="J276" s="12" t="n">
        <v>4</v>
      </c>
      <c r="K276" s="12" t="s">
        <v>174</v>
      </c>
      <c r="L276" s="12" t="s">
        <v>2755</v>
      </c>
    </row>
    <row r="277" customFormat="false" ht="23.85" hidden="false" customHeight="false" outlineLevel="0" collapsed="false">
      <c r="A277" s="12" t="s">
        <v>3235</v>
      </c>
      <c r="B277" s="12" t="s">
        <v>2400</v>
      </c>
      <c r="C277" s="12" t="s">
        <v>2345</v>
      </c>
      <c r="D277" s="12" t="s">
        <v>1385</v>
      </c>
      <c r="E277" s="13" t="s">
        <v>3236</v>
      </c>
      <c r="F277" s="12" t="s">
        <v>2400</v>
      </c>
      <c r="G277" s="12" t="s">
        <v>3237</v>
      </c>
      <c r="H277" s="12"/>
      <c r="I277" s="12" t="s">
        <v>2344</v>
      </c>
      <c r="J277" s="12" t="n">
        <v>4</v>
      </c>
      <c r="K277" s="12" t="s">
        <v>174</v>
      </c>
      <c r="L277" s="12" t="s">
        <v>2755</v>
      </c>
    </row>
    <row r="278" customFormat="false" ht="15" hidden="false" customHeight="false" outlineLevel="0" collapsed="false">
      <c r="A278" s="12" t="s">
        <v>1971</v>
      </c>
      <c r="B278" s="12" t="s">
        <v>3238</v>
      </c>
      <c r="C278" s="12" t="s">
        <v>3239</v>
      </c>
      <c r="D278" s="12" t="s">
        <v>1385</v>
      </c>
      <c r="E278" s="13" t="s">
        <v>3240</v>
      </c>
      <c r="F278" s="12" t="s">
        <v>3238</v>
      </c>
      <c r="G278" s="12" t="s">
        <v>1358</v>
      </c>
      <c r="H278" s="12"/>
      <c r="I278" s="12" t="s">
        <v>2350</v>
      </c>
      <c r="J278" s="12" t="n">
        <v>3</v>
      </c>
      <c r="K278" s="12" t="s">
        <v>174</v>
      </c>
      <c r="L278" s="12" t="s">
        <v>2755</v>
      </c>
    </row>
    <row r="279" customFormat="false" ht="15" hidden="false" customHeight="false" outlineLevel="0" collapsed="false">
      <c r="A279" s="12" t="s">
        <v>1974</v>
      </c>
      <c r="B279" s="12" t="s">
        <v>3241</v>
      </c>
      <c r="C279" s="12" t="s">
        <v>1357</v>
      </c>
      <c r="D279" s="12" t="s">
        <v>1385</v>
      </c>
      <c r="E279" s="13" t="s">
        <v>3242</v>
      </c>
      <c r="F279" s="12" t="s">
        <v>3241</v>
      </c>
      <c r="G279" s="12" t="s">
        <v>3243</v>
      </c>
      <c r="H279" s="12"/>
      <c r="I279" s="12" t="s">
        <v>2385</v>
      </c>
      <c r="J279" s="12" t="n">
        <v>2</v>
      </c>
      <c r="K279" s="12" t="s">
        <v>174</v>
      </c>
      <c r="L279" s="12" t="s">
        <v>2755</v>
      </c>
    </row>
    <row r="280" customFormat="false" ht="15" hidden="false" customHeight="false" outlineLevel="0" collapsed="false">
      <c r="A280" s="12" t="s">
        <v>1980</v>
      </c>
      <c r="B280" s="12" t="s">
        <v>3244</v>
      </c>
      <c r="C280" s="12" t="s">
        <v>988</v>
      </c>
      <c r="D280" s="12" t="s">
        <v>1385</v>
      </c>
      <c r="E280" s="13" t="s">
        <v>3245</v>
      </c>
      <c r="F280" s="12" t="s">
        <v>3244</v>
      </c>
      <c r="G280" s="12" t="s">
        <v>3246</v>
      </c>
      <c r="H280" s="12"/>
      <c r="I280" s="12" t="s">
        <v>2385</v>
      </c>
      <c r="J280" s="12" t="n">
        <v>2</v>
      </c>
      <c r="K280" s="12" t="s">
        <v>174</v>
      </c>
      <c r="L280" s="12" t="s">
        <v>2755</v>
      </c>
    </row>
    <row r="281" customFormat="false" ht="15" hidden="false" customHeight="false" outlineLevel="0" collapsed="false">
      <c r="A281" s="12" t="s">
        <v>2265</v>
      </c>
      <c r="B281" s="12" t="s">
        <v>3247</v>
      </c>
      <c r="C281" s="12"/>
      <c r="D281" s="12"/>
      <c r="E281" s="13" t="s">
        <v>3248</v>
      </c>
      <c r="F281" s="12" t="s">
        <v>3247</v>
      </c>
      <c r="G281" s="12" t="s">
        <v>3249</v>
      </c>
      <c r="H281" s="12"/>
      <c r="I281" s="12" t="s">
        <v>2385</v>
      </c>
      <c r="J281" s="12" t="n">
        <v>2</v>
      </c>
      <c r="K281" s="12" t="s">
        <v>174</v>
      </c>
      <c r="L281" s="12" t="s">
        <v>2755</v>
      </c>
    </row>
    <row r="282" customFormat="false" ht="23.85" hidden="false" customHeight="false" outlineLevel="0" collapsed="false">
      <c r="A282" s="12" t="s">
        <v>3250</v>
      </c>
      <c r="B282" s="12" t="s">
        <v>2655</v>
      </c>
      <c r="C282" s="12"/>
      <c r="D282" s="12"/>
      <c r="E282" s="13" t="s">
        <v>3251</v>
      </c>
      <c r="F282" s="12" t="s">
        <v>2655</v>
      </c>
      <c r="G282" s="12" t="s">
        <v>3252</v>
      </c>
      <c r="H282" s="12"/>
      <c r="I282" s="12" t="s">
        <v>2344</v>
      </c>
      <c r="J282" s="12" t="n">
        <v>4</v>
      </c>
      <c r="K282" s="12" t="s">
        <v>174</v>
      </c>
      <c r="L282" s="12" t="s">
        <v>2755</v>
      </c>
    </row>
    <row r="283" customFormat="false" ht="23.85" hidden="false" customHeight="false" outlineLevel="0" collapsed="false">
      <c r="A283" s="12" t="s">
        <v>1986</v>
      </c>
      <c r="B283" s="12" t="s">
        <v>3061</v>
      </c>
      <c r="C283" s="12" t="s">
        <v>511</v>
      </c>
      <c r="D283" s="12" t="s">
        <v>1385</v>
      </c>
      <c r="E283" s="13" t="s">
        <v>3253</v>
      </c>
      <c r="F283" s="12" t="s">
        <v>3061</v>
      </c>
      <c r="G283" s="12" t="s">
        <v>3254</v>
      </c>
      <c r="H283" s="12"/>
      <c r="I283" s="12" t="s">
        <v>2350</v>
      </c>
      <c r="J283" s="12" t="n">
        <v>2</v>
      </c>
      <c r="K283" s="12" t="s">
        <v>174</v>
      </c>
      <c r="L283" s="12" t="s">
        <v>2755</v>
      </c>
    </row>
    <row r="284" customFormat="false" ht="23.85" hidden="false" customHeight="false" outlineLevel="0" collapsed="false">
      <c r="A284" s="12" t="s">
        <v>3255</v>
      </c>
      <c r="B284" s="12" t="s">
        <v>2410</v>
      </c>
      <c r="C284" s="12" t="s">
        <v>3256</v>
      </c>
      <c r="D284" s="12" t="s">
        <v>1385</v>
      </c>
      <c r="E284" s="13" t="s">
        <v>3257</v>
      </c>
      <c r="F284" s="12" t="s">
        <v>2410</v>
      </c>
      <c r="G284" s="12" t="s">
        <v>3258</v>
      </c>
      <c r="H284" s="12"/>
      <c r="I284" s="12" t="s">
        <v>2350</v>
      </c>
      <c r="J284" s="12" t="n">
        <v>3</v>
      </c>
      <c r="K284" s="12" t="s">
        <v>174</v>
      </c>
      <c r="L284" s="12" t="s">
        <v>2755</v>
      </c>
    </row>
    <row r="285" customFormat="false" ht="23.85" hidden="false" customHeight="false" outlineLevel="0" collapsed="false">
      <c r="A285" s="12" t="s">
        <v>3259</v>
      </c>
      <c r="B285" s="12" t="s">
        <v>3260</v>
      </c>
      <c r="C285" s="12" t="s">
        <v>3261</v>
      </c>
      <c r="D285" s="12" t="s">
        <v>1385</v>
      </c>
      <c r="E285" s="13" t="s">
        <v>3262</v>
      </c>
      <c r="F285" s="12" t="s">
        <v>3260</v>
      </c>
      <c r="G285" s="12" t="s">
        <v>3263</v>
      </c>
      <c r="H285" s="12"/>
      <c r="I285" s="12" t="s">
        <v>2350</v>
      </c>
      <c r="J285" s="12" t="n">
        <v>3</v>
      </c>
      <c r="K285" s="12" t="s">
        <v>174</v>
      </c>
      <c r="L285" s="12" t="s">
        <v>2755</v>
      </c>
    </row>
    <row r="286" customFormat="false" ht="15" hidden="false" customHeight="false" outlineLevel="0" collapsed="false">
      <c r="A286" s="12" t="s">
        <v>2269</v>
      </c>
      <c r="B286" s="12" t="s">
        <v>2354</v>
      </c>
      <c r="C286" s="12" t="s">
        <v>3261</v>
      </c>
      <c r="D286" s="12" t="s">
        <v>1385</v>
      </c>
      <c r="E286" s="13" t="s">
        <v>3264</v>
      </c>
      <c r="F286" s="12" t="s">
        <v>2354</v>
      </c>
      <c r="G286" s="12" t="s">
        <v>3265</v>
      </c>
      <c r="H286" s="12"/>
      <c r="I286" s="12" t="s">
        <v>2385</v>
      </c>
      <c r="J286" s="12" t="n">
        <v>2</v>
      </c>
      <c r="K286" s="12" t="s">
        <v>174</v>
      </c>
      <c r="L286" s="12" t="s">
        <v>2755</v>
      </c>
    </row>
    <row r="287" customFormat="false" ht="23.85" hidden="false" customHeight="false" outlineLevel="0" collapsed="false">
      <c r="A287" s="12" t="s">
        <v>1989</v>
      </c>
      <c r="B287" s="12" t="s">
        <v>3266</v>
      </c>
      <c r="C287" s="12" t="s">
        <v>1334</v>
      </c>
      <c r="D287" s="12" t="s">
        <v>1385</v>
      </c>
      <c r="E287" s="13" t="s">
        <v>3267</v>
      </c>
      <c r="F287" s="12" t="s">
        <v>3266</v>
      </c>
      <c r="G287" s="12" t="s">
        <v>1336</v>
      </c>
      <c r="H287" s="12"/>
      <c r="I287" s="12" t="s">
        <v>2350</v>
      </c>
      <c r="J287" s="12" t="n">
        <v>3</v>
      </c>
      <c r="K287" s="12" t="s">
        <v>174</v>
      </c>
      <c r="L287" s="12" t="s">
        <v>2755</v>
      </c>
    </row>
    <row r="288" customFormat="false" ht="23.85" hidden="false" customHeight="false" outlineLevel="0" collapsed="false">
      <c r="A288" s="12" t="s">
        <v>2048</v>
      </c>
      <c r="B288" s="12" t="s">
        <v>3268</v>
      </c>
      <c r="C288" s="12" t="n">
        <v>2025</v>
      </c>
      <c r="D288" s="12" t="s">
        <v>1445</v>
      </c>
      <c r="E288" s="13" t="s">
        <v>3269</v>
      </c>
      <c r="F288" s="12" t="s">
        <v>3268</v>
      </c>
      <c r="G288" s="12" t="s">
        <v>1110</v>
      </c>
      <c r="H288" s="12"/>
      <c r="I288" s="12" t="s">
        <v>2344</v>
      </c>
      <c r="J288" s="12" t="n">
        <v>4</v>
      </c>
      <c r="K288" s="12" t="s">
        <v>174</v>
      </c>
      <c r="L288" s="12" t="s">
        <v>2755</v>
      </c>
    </row>
    <row r="289" customFormat="false" ht="23.85" hidden="false" customHeight="false" outlineLevel="0" collapsed="false">
      <c r="A289" s="12" t="s">
        <v>3270</v>
      </c>
      <c r="B289" s="12" t="s">
        <v>3268</v>
      </c>
      <c r="C289" s="12" t="n">
        <v>2024</v>
      </c>
      <c r="D289" s="12" t="s">
        <v>1445</v>
      </c>
      <c r="E289" s="13" t="s">
        <v>3271</v>
      </c>
      <c r="F289" s="12" t="s">
        <v>3268</v>
      </c>
      <c r="G289" s="12" t="s">
        <v>3272</v>
      </c>
      <c r="H289" s="12"/>
      <c r="I289" s="12" t="s">
        <v>2344</v>
      </c>
      <c r="J289" s="12" t="n">
        <v>4</v>
      </c>
      <c r="K289" s="12" t="s">
        <v>174</v>
      </c>
      <c r="L289" s="12" t="s">
        <v>2755</v>
      </c>
    </row>
    <row r="290" customFormat="false" ht="15" hidden="false" customHeight="false" outlineLevel="0" collapsed="false">
      <c r="A290" s="12" t="s">
        <v>3273</v>
      </c>
      <c r="B290" s="12" t="s">
        <v>2468</v>
      </c>
      <c r="C290" s="12" t="s">
        <v>3274</v>
      </c>
      <c r="D290" s="12" t="s">
        <v>1385</v>
      </c>
      <c r="E290" s="13" t="s">
        <v>3275</v>
      </c>
      <c r="F290" s="12" t="s">
        <v>2468</v>
      </c>
      <c r="G290" s="12" t="s">
        <v>3276</v>
      </c>
      <c r="H290" s="12"/>
      <c r="I290" s="12" t="s">
        <v>2350</v>
      </c>
      <c r="J290" s="12" t="n">
        <v>3</v>
      </c>
      <c r="K290" s="12" t="s">
        <v>174</v>
      </c>
      <c r="L290" s="12" t="s">
        <v>2755</v>
      </c>
    </row>
    <row r="291" customFormat="false" ht="15" hidden="false" customHeight="false" outlineLevel="0" collapsed="false">
      <c r="A291" s="12" t="s">
        <v>3277</v>
      </c>
      <c r="B291" s="12" t="s">
        <v>3278</v>
      </c>
      <c r="C291" s="12" t="s">
        <v>2554</v>
      </c>
      <c r="D291" s="12" t="s">
        <v>1385</v>
      </c>
      <c r="E291" s="13" t="s">
        <v>3279</v>
      </c>
      <c r="F291" s="12" t="s">
        <v>3278</v>
      </c>
      <c r="G291" s="12" t="s">
        <v>3280</v>
      </c>
      <c r="H291" s="12"/>
      <c r="I291" s="12" t="s">
        <v>2350</v>
      </c>
      <c r="J291" s="12" t="n">
        <v>3</v>
      </c>
      <c r="K291" s="12" t="s">
        <v>174</v>
      </c>
      <c r="L291" s="12" t="s">
        <v>2755</v>
      </c>
    </row>
    <row r="292" customFormat="false" ht="15" hidden="false" customHeight="false" outlineLevel="0" collapsed="false">
      <c r="A292" s="12" t="s">
        <v>3281</v>
      </c>
      <c r="B292" s="12" t="s">
        <v>3282</v>
      </c>
      <c r="C292" s="12" t="s">
        <v>3283</v>
      </c>
      <c r="D292" s="12" t="s">
        <v>1385</v>
      </c>
      <c r="E292" s="13" t="s">
        <v>3284</v>
      </c>
      <c r="F292" s="12" t="s">
        <v>3282</v>
      </c>
      <c r="G292" s="12" t="s">
        <v>3285</v>
      </c>
      <c r="H292" s="12"/>
      <c r="I292" s="12" t="s">
        <v>2350</v>
      </c>
      <c r="J292" s="12" t="n">
        <v>3</v>
      </c>
      <c r="K292" s="12" t="s">
        <v>174</v>
      </c>
      <c r="L292" s="12" t="s">
        <v>2755</v>
      </c>
    </row>
    <row r="293" customFormat="false" ht="15" hidden="false" customHeight="false" outlineLevel="0" collapsed="false">
      <c r="A293" s="12" t="s">
        <v>2059</v>
      </c>
      <c r="B293" s="12" t="s">
        <v>3286</v>
      </c>
      <c r="C293" s="12" t="s">
        <v>1116</v>
      </c>
      <c r="D293" s="12" t="s">
        <v>1385</v>
      </c>
      <c r="E293" s="13" t="s">
        <v>3287</v>
      </c>
      <c r="F293" s="12" t="s">
        <v>3286</v>
      </c>
      <c r="G293" s="12" t="s">
        <v>1125</v>
      </c>
      <c r="H293" s="12"/>
      <c r="I293" s="12" t="s">
        <v>2350</v>
      </c>
      <c r="J293" s="12" t="n">
        <v>3</v>
      </c>
      <c r="K293" s="12" t="s">
        <v>174</v>
      </c>
      <c r="L293" s="12" t="s">
        <v>2755</v>
      </c>
    </row>
    <row r="294" customFormat="false" ht="23.85" hidden="false" customHeight="false" outlineLevel="0" collapsed="false">
      <c r="A294" s="12" t="s">
        <v>2053</v>
      </c>
      <c r="B294" s="12" t="s">
        <v>3288</v>
      </c>
      <c r="C294" s="12" t="s">
        <v>528</v>
      </c>
      <c r="D294" s="12" t="s">
        <v>1385</v>
      </c>
      <c r="E294" s="13" t="s">
        <v>3289</v>
      </c>
      <c r="F294" s="12" t="s">
        <v>3288</v>
      </c>
      <c r="G294" s="12" t="s">
        <v>3290</v>
      </c>
      <c r="H294" s="12"/>
      <c r="I294" s="12" t="s">
        <v>2534</v>
      </c>
      <c r="J294" s="12" t="n">
        <v>1</v>
      </c>
      <c r="K294" s="12" t="s">
        <v>174</v>
      </c>
      <c r="L294" s="12" t="s">
        <v>2755</v>
      </c>
    </row>
    <row r="295" customFormat="false" ht="15" hidden="false" customHeight="false" outlineLevel="0" collapsed="false">
      <c r="A295" s="12" t="s">
        <v>3291</v>
      </c>
      <c r="B295" s="12" t="s">
        <v>3292</v>
      </c>
      <c r="C295" s="12" t="s">
        <v>3293</v>
      </c>
      <c r="D295" s="12" t="s">
        <v>1385</v>
      </c>
      <c r="E295" s="13" t="s">
        <v>3294</v>
      </c>
      <c r="F295" s="12" t="s">
        <v>3292</v>
      </c>
      <c r="G295" s="12" t="s">
        <v>3295</v>
      </c>
      <c r="H295" s="12"/>
      <c r="I295" s="12" t="s">
        <v>2350</v>
      </c>
      <c r="J295" s="12" t="n">
        <v>3</v>
      </c>
      <c r="K295" s="12" t="s">
        <v>174</v>
      </c>
      <c r="L295" s="12" t="s">
        <v>2755</v>
      </c>
    </row>
    <row r="296" customFormat="false" ht="15" hidden="false" customHeight="false" outlineLevel="0" collapsed="false">
      <c r="A296" s="12" t="s">
        <v>2066</v>
      </c>
      <c r="B296" s="12" t="s">
        <v>3075</v>
      </c>
      <c r="C296" s="12" t="s">
        <v>3296</v>
      </c>
      <c r="D296" s="12" t="s">
        <v>1385</v>
      </c>
      <c r="E296" s="13" t="s">
        <v>3297</v>
      </c>
      <c r="F296" s="12" t="s">
        <v>3075</v>
      </c>
      <c r="G296" s="12" t="s">
        <v>3298</v>
      </c>
      <c r="H296" s="12"/>
      <c r="I296" s="12" t="s">
        <v>2350</v>
      </c>
      <c r="J296" s="12" t="n">
        <v>3</v>
      </c>
      <c r="K296" s="12" t="s">
        <v>174</v>
      </c>
      <c r="L296" s="12" t="s">
        <v>2755</v>
      </c>
    </row>
    <row r="297" customFormat="false" ht="23.85" hidden="false" customHeight="false" outlineLevel="0" collapsed="false">
      <c r="A297" s="12" t="s">
        <v>3299</v>
      </c>
      <c r="B297" s="12" t="s">
        <v>2429</v>
      </c>
      <c r="C297" s="12" t="s">
        <v>3300</v>
      </c>
      <c r="D297" s="12" t="s">
        <v>1385</v>
      </c>
      <c r="E297" s="13" t="s">
        <v>3301</v>
      </c>
      <c r="F297" s="12" t="s">
        <v>2429</v>
      </c>
      <c r="G297" s="12" t="s">
        <v>3302</v>
      </c>
      <c r="H297" s="12"/>
      <c r="I297" s="12" t="s">
        <v>2350</v>
      </c>
      <c r="J297" s="12" t="n">
        <v>3</v>
      </c>
      <c r="K297" s="12" t="s">
        <v>174</v>
      </c>
      <c r="L297" s="12" t="s">
        <v>2755</v>
      </c>
    </row>
    <row r="298" customFormat="false" ht="15" hidden="false" customHeight="false" outlineLevel="0" collapsed="false">
      <c r="A298" s="12" t="s">
        <v>2081</v>
      </c>
      <c r="B298" s="12" t="s">
        <v>2389</v>
      </c>
      <c r="C298" s="12" t="s">
        <v>1142</v>
      </c>
      <c r="D298" s="12" t="s">
        <v>1385</v>
      </c>
      <c r="E298" s="13" t="s">
        <v>3303</v>
      </c>
      <c r="F298" s="12" t="s">
        <v>2389</v>
      </c>
      <c r="G298" s="12" t="s">
        <v>3304</v>
      </c>
      <c r="H298" s="12"/>
      <c r="I298" s="12" t="s">
        <v>2350</v>
      </c>
      <c r="J298" s="12" t="n">
        <v>3</v>
      </c>
      <c r="K298" s="12" t="s">
        <v>174</v>
      </c>
      <c r="L298" s="12" t="s">
        <v>2755</v>
      </c>
    </row>
    <row r="299" customFormat="false" ht="15" hidden="false" customHeight="false" outlineLevel="0" collapsed="false">
      <c r="A299" s="12" t="s">
        <v>2072</v>
      </c>
      <c r="B299" s="12" t="s">
        <v>3292</v>
      </c>
      <c r="C299" s="12" t="s">
        <v>1135</v>
      </c>
      <c r="D299" s="12" t="s">
        <v>1385</v>
      </c>
      <c r="E299" s="13" t="s">
        <v>3305</v>
      </c>
      <c r="F299" s="12" t="s">
        <v>3292</v>
      </c>
      <c r="G299" s="12" t="s">
        <v>3306</v>
      </c>
      <c r="H299" s="12"/>
      <c r="I299" s="12" t="s">
        <v>2350</v>
      </c>
      <c r="J299" s="12" t="n">
        <v>3</v>
      </c>
      <c r="K299" s="12" t="s">
        <v>174</v>
      </c>
      <c r="L299" s="12" t="s">
        <v>2755</v>
      </c>
    </row>
    <row r="300" customFormat="false" ht="23.85" hidden="false" customHeight="false" outlineLevel="0" collapsed="false">
      <c r="A300" s="12" t="s">
        <v>2075</v>
      </c>
      <c r="B300" s="12" t="s">
        <v>3307</v>
      </c>
      <c r="C300" s="12" t="s">
        <v>3308</v>
      </c>
      <c r="D300" s="12" t="s">
        <v>1385</v>
      </c>
      <c r="E300" s="13" t="s">
        <v>3309</v>
      </c>
      <c r="F300" s="12" t="s">
        <v>3307</v>
      </c>
      <c r="G300" s="12" t="s">
        <v>3310</v>
      </c>
      <c r="H300" s="12"/>
      <c r="I300" s="12" t="s">
        <v>2534</v>
      </c>
      <c r="J300" s="12" t="n">
        <v>1</v>
      </c>
      <c r="K300" s="12" t="s">
        <v>174</v>
      </c>
      <c r="L300" s="12" t="s">
        <v>2755</v>
      </c>
    </row>
    <row r="301" customFormat="false" ht="23.85" hidden="false" customHeight="false" outlineLevel="0" collapsed="false">
      <c r="A301" s="12" t="s">
        <v>3311</v>
      </c>
      <c r="B301" s="12" t="s">
        <v>3312</v>
      </c>
      <c r="C301" s="12" t="s">
        <v>3308</v>
      </c>
      <c r="D301" s="12" t="s">
        <v>1385</v>
      </c>
      <c r="E301" s="13" t="s">
        <v>3313</v>
      </c>
      <c r="F301" s="12" t="s">
        <v>3312</v>
      </c>
      <c r="G301" s="12" t="s">
        <v>3314</v>
      </c>
      <c r="H301" s="12"/>
      <c r="I301" s="12" t="s">
        <v>2350</v>
      </c>
      <c r="J301" s="12" t="n">
        <v>3</v>
      </c>
      <c r="K301" s="12" t="s">
        <v>174</v>
      </c>
      <c r="L301" s="12" t="s">
        <v>2755</v>
      </c>
    </row>
    <row r="302" customFormat="false" ht="23.85" hidden="false" customHeight="false" outlineLevel="0" collapsed="false">
      <c r="A302" s="12" t="s">
        <v>2078</v>
      </c>
      <c r="B302" s="12" t="s">
        <v>3315</v>
      </c>
      <c r="C302" s="12" t="s">
        <v>3316</v>
      </c>
      <c r="D302" s="12" t="s">
        <v>1385</v>
      </c>
      <c r="E302" s="13" t="s">
        <v>3317</v>
      </c>
      <c r="F302" s="12" t="s">
        <v>3315</v>
      </c>
      <c r="G302" s="12" t="s">
        <v>3318</v>
      </c>
      <c r="H302" s="12"/>
      <c r="I302" s="12" t="s">
        <v>2350</v>
      </c>
      <c r="J302" s="12" t="n">
        <v>3</v>
      </c>
      <c r="K302" s="12" t="s">
        <v>174</v>
      </c>
      <c r="L302" s="12" t="s">
        <v>2755</v>
      </c>
    </row>
    <row r="303" customFormat="false" ht="23.85" hidden="false" customHeight="false" outlineLevel="0" collapsed="false">
      <c r="A303" s="12" t="s">
        <v>3319</v>
      </c>
      <c r="B303" s="12" t="s">
        <v>3320</v>
      </c>
      <c r="C303" s="12" t="s">
        <v>3321</v>
      </c>
      <c r="D303" s="12" t="s">
        <v>1385</v>
      </c>
      <c r="E303" s="13" t="s">
        <v>3322</v>
      </c>
      <c r="F303" s="12" t="s">
        <v>3320</v>
      </c>
      <c r="G303" s="12" t="s">
        <v>3323</v>
      </c>
      <c r="H303" s="12"/>
      <c r="I303" s="12" t="s">
        <v>2350</v>
      </c>
      <c r="J303" s="12" t="n">
        <v>3</v>
      </c>
      <c r="K303" s="12" t="s">
        <v>174</v>
      </c>
      <c r="L303" s="12" t="s">
        <v>2755</v>
      </c>
    </row>
    <row r="304" customFormat="false" ht="15" hidden="false" customHeight="false" outlineLevel="0" collapsed="false">
      <c r="A304" s="12" t="s">
        <v>2084</v>
      </c>
      <c r="B304" s="12" t="s">
        <v>2429</v>
      </c>
      <c r="C304" s="12" t="s">
        <v>1708</v>
      </c>
      <c r="D304" s="12" t="s">
        <v>1385</v>
      </c>
      <c r="E304" s="13" t="s">
        <v>3324</v>
      </c>
      <c r="F304" s="12" t="s">
        <v>2429</v>
      </c>
      <c r="G304" s="12" t="s">
        <v>3325</v>
      </c>
      <c r="H304" s="12"/>
      <c r="I304" s="12" t="s">
        <v>2350</v>
      </c>
      <c r="J304" s="12" t="n">
        <v>3</v>
      </c>
      <c r="K304" s="12" t="s">
        <v>174</v>
      </c>
      <c r="L304" s="12" t="s">
        <v>2755</v>
      </c>
    </row>
    <row r="305" customFormat="false" ht="15" hidden="false" customHeight="false" outlineLevel="0" collapsed="false">
      <c r="A305" s="12" t="s">
        <v>2087</v>
      </c>
      <c r="B305" s="12" t="s">
        <v>3326</v>
      </c>
      <c r="C305" s="12" t="s">
        <v>1153</v>
      </c>
      <c r="D305" s="12" t="s">
        <v>1379</v>
      </c>
      <c r="E305" s="13" t="s">
        <v>3327</v>
      </c>
      <c r="F305" s="12" t="s">
        <v>3326</v>
      </c>
      <c r="G305" s="12" t="s">
        <v>3328</v>
      </c>
      <c r="H305" s="12"/>
      <c r="I305" s="12" t="s">
        <v>2344</v>
      </c>
      <c r="J305" s="12" t="n">
        <v>4</v>
      </c>
      <c r="K305" s="12" t="s">
        <v>174</v>
      </c>
      <c r="L305" s="12" t="s">
        <v>2755</v>
      </c>
    </row>
    <row r="306" customFormat="false" ht="15" hidden="false" customHeight="false" outlineLevel="0" collapsed="false">
      <c r="A306" s="12" t="s">
        <v>2115</v>
      </c>
      <c r="B306" s="12" t="s">
        <v>3329</v>
      </c>
      <c r="C306" s="12" t="s">
        <v>3330</v>
      </c>
      <c r="D306" s="12" t="s">
        <v>1385</v>
      </c>
      <c r="E306" s="13" t="s">
        <v>3331</v>
      </c>
      <c r="F306" s="12" t="s">
        <v>3329</v>
      </c>
      <c r="G306" s="12" t="s">
        <v>3332</v>
      </c>
      <c r="H306" s="12"/>
      <c r="I306" s="12" t="s">
        <v>2350</v>
      </c>
      <c r="J306" s="12" t="n">
        <v>3</v>
      </c>
      <c r="K306" s="12" t="s">
        <v>174</v>
      </c>
      <c r="L306" s="12" t="s">
        <v>2755</v>
      </c>
    </row>
    <row r="307" customFormat="false" ht="23.85" hidden="false" customHeight="false" outlineLevel="0" collapsed="false">
      <c r="A307" s="12" t="s">
        <v>3333</v>
      </c>
      <c r="B307" s="12" t="s">
        <v>3334</v>
      </c>
      <c r="C307" s="12" t="s">
        <v>3335</v>
      </c>
      <c r="D307" s="12" t="s">
        <v>1385</v>
      </c>
      <c r="E307" s="13" t="s">
        <v>3336</v>
      </c>
      <c r="F307" s="12" t="s">
        <v>3334</v>
      </c>
      <c r="G307" s="12" t="s">
        <v>3337</v>
      </c>
      <c r="H307" s="12"/>
      <c r="I307" s="12" t="s">
        <v>2350</v>
      </c>
      <c r="J307" s="12" t="n">
        <v>3</v>
      </c>
      <c r="K307" s="12" t="s">
        <v>174</v>
      </c>
      <c r="L307" s="12" t="s">
        <v>2755</v>
      </c>
    </row>
    <row r="308" customFormat="false" ht="15" hidden="false" customHeight="false" outlineLevel="0" collapsed="false">
      <c r="A308" s="12" t="s">
        <v>2149</v>
      </c>
      <c r="B308" s="12" t="s">
        <v>2404</v>
      </c>
      <c r="C308" s="12" t="s">
        <v>1242</v>
      </c>
      <c r="D308" s="12" t="s">
        <v>1385</v>
      </c>
      <c r="E308" s="13" t="s">
        <v>3338</v>
      </c>
      <c r="F308" s="12" t="s">
        <v>2404</v>
      </c>
      <c r="G308" s="12" t="s">
        <v>3339</v>
      </c>
      <c r="H308" s="12"/>
      <c r="I308" s="12" t="s">
        <v>2350</v>
      </c>
      <c r="J308" s="12" t="n">
        <v>3</v>
      </c>
      <c r="K308" s="12" t="s">
        <v>174</v>
      </c>
      <c r="L308" s="12" t="s">
        <v>2755</v>
      </c>
    </row>
    <row r="309" customFormat="false" ht="15" hidden="false" customHeight="false" outlineLevel="0" collapsed="false">
      <c r="A309" s="12" t="s">
        <v>3340</v>
      </c>
      <c r="B309" s="12" t="s">
        <v>3341</v>
      </c>
      <c r="C309" s="12" t="s">
        <v>3342</v>
      </c>
      <c r="D309" s="12" t="s">
        <v>1385</v>
      </c>
      <c r="E309" s="13" t="s">
        <v>3343</v>
      </c>
      <c r="F309" s="12" t="s">
        <v>3341</v>
      </c>
      <c r="G309" s="12" t="s">
        <v>3344</v>
      </c>
      <c r="H309" s="12"/>
      <c r="I309" s="12" t="s">
        <v>2350</v>
      </c>
      <c r="J309" s="12" t="n">
        <v>2</v>
      </c>
      <c r="K309" s="12" t="s">
        <v>174</v>
      </c>
      <c r="L309" s="12" t="s">
        <v>2755</v>
      </c>
    </row>
    <row r="310" customFormat="false" ht="15" hidden="false" customHeight="false" outlineLevel="0" collapsed="false">
      <c r="A310" s="12" t="s">
        <v>3345</v>
      </c>
      <c r="B310" s="12" t="s">
        <v>2354</v>
      </c>
      <c r="C310" s="12" t="s">
        <v>3342</v>
      </c>
      <c r="D310" s="12" t="s">
        <v>1385</v>
      </c>
      <c r="E310" s="13" t="s">
        <v>3346</v>
      </c>
      <c r="F310" s="12" t="s">
        <v>2354</v>
      </c>
      <c r="G310" s="12" t="s">
        <v>3347</v>
      </c>
      <c r="H310" s="12"/>
      <c r="I310" s="12" t="s">
        <v>2350</v>
      </c>
      <c r="J310" s="12" t="n">
        <v>2</v>
      </c>
      <c r="K310" s="12" t="s">
        <v>174</v>
      </c>
      <c r="L310" s="12" t="s">
        <v>2755</v>
      </c>
    </row>
    <row r="311" customFormat="false" ht="23.85" hidden="false" customHeight="false" outlineLevel="0" collapsed="false">
      <c r="A311" s="12" t="s">
        <v>2152</v>
      </c>
      <c r="B311" s="12" t="s">
        <v>2468</v>
      </c>
      <c r="C311" s="12" t="s">
        <v>1241</v>
      </c>
      <c r="D311" s="12" t="s">
        <v>1385</v>
      </c>
      <c r="E311" s="13" t="s">
        <v>3348</v>
      </c>
      <c r="F311" s="12" t="s">
        <v>2468</v>
      </c>
      <c r="G311" s="12" t="s">
        <v>3349</v>
      </c>
      <c r="H311" s="12"/>
      <c r="I311" s="12" t="s">
        <v>2350</v>
      </c>
      <c r="J311" s="12" t="n">
        <v>3</v>
      </c>
      <c r="K311" s="12" t="s">
        <v>174</v>
      </c>
      <c r="L311" s="12" t="s">
        <v>2755</v>
      </c>
    </row>
    <row r="312" customFormat="false" ht="23.85" hidden="false" customHeight="false" outlineLevel="0" collapsed="false">
      <c r="A312" s="12" t="s">
        <v>3350</v>
      </c>
      <c r="B312" s="12" t="s">
        <v>2834</v>
      </c>
      <c r="C312" s="12" t="s">
        <v>3351</v>
      </c>
      <c r="D312" s="12" t="s">
        <v>1385</v>
      </c>
      <c r="E312" s="13" t="s">
        <v>3352</v>
      </c>
      <c r="F312" s="12" t="s">
        <v>2834</v>
      </c>
      <c r="G312" s="12" t="s">
        <v>3353</v>
      </c>
      <c r="H312" s="12"/>
      <c r="I312" s="12" t="s">
        <v>2385</v>
      </c>
      <c r="J312" s="12" t="n">
        <v>2</v>
      </c>
      <c r="K312" s="12" t="s">
        <v>174</v>
      </c>
      <c r="L312" s="12" t="s">
        <v>2755</v>
      </c>
    </row>
    <row r="313" customFormat="false" ht="23.85" hidden="false" customHeight="false" outlineLevel="0" collapsed="false">
      <c r="A313" s="12" t="s">
        <v>3354</v>
      </c>
      <c r="B313" s="12" t="s">
        <v>3355</v>
      </c>
      <c r="C313" s="12" t="s">
        <v>3356</v>
      </c>
      <c r="D313" s="12" t="s">
        <v>1379</v>
      </c>
      <c r="E313" s="13" t="s">
        <v>3357</v>
      </c>
      <c r="F313" s="12" t="s">
        <v>3355</v>
      </c>
      <c r="G313" s="12" t="s">
        <v>1246</v>
      </c>
      <c r="H313" s="12"/>
      <c r="I313" s="12" t="s">
        <v>2344</v>
      </c>
      <c r="J313" s="12" t="n">
        <v>4</v>
      </c>
      <c r="K313" s="12" t="s">
        <v>174</v>
      </c>
      <c r="L313" s="12" t="s">
        <v>2755</v>
      </c>
    </row>
    <row r="314" customFormat="false" ht="23.85" hidden="false" customHeight="false" outlineLevel="0" collapsed="false">
      <c r="A314" s="12" t="s">
        <v>3358</v>
      </c>
      <c r="B314" s="12" t="s">
        <v>2429</v>
      </c>
      <c r="C314" s="12" t="s">
        <v>3359</v>
      </c>
      <c r="D314" s="12" t="s">
        <v>1385</v>
      </c>
      <c r="E314" s="13" t="s">
        <v>3360</v>
      </c>
      <c r="F314" s="12" t="s">
        <v>2429</v>
      </c>
      <c r="G314" s="12" t="s">
        <v>1368</v>
      </c>
      <c r="H314" s="12"/>
      <c r="I314" s="12" t="s">
        <v>2350</v>
      </c>
      <c r="J314" s="12" t="n">
        <v>3</v>
      </c>
      <c r="K314" s="12" t="s">
        <v>174</v>
      </c>
      <c r="L314" s="12" t="s">
        <v>2755</v>
      </c>
    </row>
    <row r="315" customFormat="false" ht="15" hidden="false" customHeight="false" outlineLevel="0" collapsed="false">
      <c r="A315" s="12" t="s">
        <v>2195</v>
      </c>
      <c r="B315" s="12" t="s">
        <v>3361</v>
      </c>
      <c r="C315" s="12" t="s">
        <v>1252</v>
      </c>
      <c r="D315" s="12" t="s">
        <v>1385</v>
      </c>
      <c r="E315" s="13" t="s">
        <v>3362</v>
      </c>
      <c r="F315" s="12" t="s">
        <v>3361</v>
      </c>
      <c r="G315" s="12" t="s">
        <v>3363</v>
      </c>
      <c r="H315" s="12"/>
      <c r="I315" s="12" t="s">
        <v>2350</v>
      </c>
      <c r="J315" s="12" t="n">
        <v>3</v>
      </c>
      <c r="K315" s="12" t="s">
        <v>174</v>
      </c>
      <c r="L315" s="12" t="s">
        <v>2755</v>
      </c>
    </row>
    <row r="316" customFormat="false" ht="15" hidden="false" customHeight="false" outlineLevel="0" collapsed="false">
      <c r="A316" s="12" t="s">
        <v>3364</v>
      </c>
      <c r="B316" s="12" t="s">
        <v>3365</v>
      </c>
      <c r="C316" s="12" t="s">
        <v>3366</v>
      </c>
      <c r="D316" s="12" t="s">
        <v>1385</v>
      </c>
      <c r="E316" s="13" t="s">
        <v>3367</v>
      </c>
      <c r="F316" s="12" t="s">
        <v>3365</v>
      </c>
      <c r="G316" s="12" t="s">
        <v>3368</v>
      </c>
      <c r="H316" s="12"/>
      <c r="I316" s="12" t="s">
        <v>2385</v>
      </c>
      <c r="J316" s="12" t="n">
        <v>2</v>
      </c>
      <c r="K316" s="12" t="s">
        <v>174</v>
      </c>
      <c r="L316" s="12" t="s">
        <v>2755</v>
      </c>
    </row>
    <row r="317" customFormat="false" ht="15" hidden="false" customHeight="false" outlineLevel="0" collapsed="false">
      <c r="A317" s="12" t="s">
        <v>2192</v>
      </c>
      <c r="B317" s="12" t="s">
        <v>3369</v>
      </c>
      <c r="C317" s="12" t="s">
        <v>1203</v>
      </c>
      <c r="D317" s="12" t="s">
        <v>1379</v>
      </c>
      <c r="E317" s="13" t="s">
        <v>3370</v>
      </c>
      <c r="F317" s="12" t="s">
        <v>3369</v>
      </c>
      <c r="G317" s="12" t="s">
        <v>1255</v>
      </c>
      <c r="H317" s="12"/>
      <c r="I317" s="12" t="s">
        <v>2344</v>
      </c>
      <c r="J317" s="12" t="n">
        <v>4</v>
      </c>
      <c r="K317" s="12" t="s">
        <v>174</v>
      </c>
      <c r="L317" s="12" t="s">
        <v>2755</v>
      </c>
    </row>
    <row r="318" customFormat="false" ht="23.85" hidden="false" customHeight="false" outlineLevel="0" collapsed="false">
      <c r="A318" s="12" t="s">
        <v>2160</v>
      </c>
      <c r="B318" s="12" t="s">
        <v>3371</v>
      </c>
      <c r="C318" s="12" t="s">
        <v>3372</v>
      </c>
      <c r="D318" s="12" t="s">
        <v>1385</v>
      </c>
      <c r="E318" s="13" t="s">
        <v>3373</v>
      </c>
      <c r="F318" s="12" t="s">
        <v>3371</v>
      </c>
      <c r="G318" s="12" t="s">
        <v>3374</v>
      </c>
      <c r="H318" s="12"/>
      <c r="I318" s="12" t="s">
        <v>2350</v>
      </c>
      <c r="J318" s="12" t="n">
        <v>3</v>
      </c>
      <c r="K318" s="12" t="s">
        <v>174</v>
      </c>
      <c r="L318" s="12" t="s">
        <v>2755</v>
      </c>
    </row>
    <row r="319" customFormat="false" ht="15" hidden="false" customHeight="false" outlineLevel="0" collapsed="false">
      <c r="A319" s="12" t="s">
        <v>3375</v>
      </c>
      <c r="B319" s="12" t="s">
        <v>3376</v>
      </c>
      <c r="C319" s="12" t="s">
        <v>1265</v>
      </c>
      <c r="D319" s="12" t="s">
        <v>1379</v>
      </c>
      <c r="E319" s="13" t="s">
        <v>3377</v>
      </c>
      <c r="F319" s="12" t="s">
        <v>3376</v>
      </c>
      <c r="G319" s="12" t="s">
        <v>3378</v>
      </c>
      <c r="H319" s="12"/>
      <c r="I319" s="12" t="s">
        <v>2350</v>
      </c>
      <c r="J319" s="12" t="n">
        <v>3</v>
      </c>
      <c r="K319" s="12" t="s">
        <v>174</v>
      </c>
      <c r="L319" s="12" t="s">
        <v>2755</v>
      </c>
    </row>
    <row r="320" customFormat="false" ht="23.85" hidden="false" customHeight="false" outlineLevel="0" collapsed="false">
      <c r="A320" s="12" t="s">
        <v>3379</v>
      </c>
      <c r="B320" s="12" t="s">
        <v>2477</v>
      </c>
      <c r="C320" s="12" t="s">
        <v>3380</v>
      </c>
      <c r="D320" s="12" t="s">
        <v>1385</v>
      </c>
      <c r="E320" s="13" t="s">
        <v>3381</v>
      </c>
      <c r="F320" s="12" t="s">
        <v>2477</v>
      </c>
      <c r="G320" s="12" t="s">
        <v>3382</v>
      </c>
      <c r="H320" s="12"/>
      <c r="I320" s="12" t="s">
        <v>2350</v>
      </c>
      <c r="J320" s="12" t="n">
        <v>2</v>
      </c>
      <c r="K320" s="12" t="s">
        <v>174</v>
      </c>
      <c r="L320" s="12" t="s">
        <v>2755</v>
      </c>
    </row>
    <row r="321" customFormat="false" ht="15" hidden="false" customHeight="false" outlineLevel="0" collapsed="false">
      <c r="A321" s="12" t="s">
        <v>3383</v>
      </c>
      <c r="B321" s="12" t="s">
        <v>2373</v>
      </c>
      <c r="C321" s="12" t="n">
        <v>2023</v>
      </c>
      <c r="D321" s="12" t="s">
        <v>1445</v>
      </c>
      <c r="E321" s="13" t="s">
        <v>3384</v>
      </c>
      <c r="F321" s="12" t="s">
        <v>2373</v>
      </c>
      <c r="G321" s="12" t="s">
        <v>3385</v>
      </c>
      <c r="H321" s="12"/>
      <c r="I321" s="12" t="s">
        <v>2350</v>
      </c>
      <c r="J321" s="12" t="n">
        <v>2</v>
      </c>
      <c r="K321" s="12" t="s">
        <v>174</v>
      </c>
      <c r="L321" s="12" t="s">
        <v>2755</v>
      </c>
    </row>
    <row r="322" customFormat="false" ht="23.85" hidden="false" customHeight="false" outlineLevel="0" collapsed="false">
      <c r="A322" s="12" t="s">
        <v>2166</v>
      </c>
      <c r="B322" s="12" t="s">
        <v>2400</v>
      </c>
      <c r="C322" s="12" t="s">
        <v>895</v>
      </c>
      <c r="D322" s="12" t="s">
        <v>1379</v>
      </c>
      <c r="E322" s="13" t="s">
        <v>3386</v>
      </c>
      <c r="F322" s="12" t="s">
        <v>2400</v>
      </c>
      <c r="G322" s="12" t="s">
        <v>3387</v>
      </c>
      <c r="H322" s="12"/>
      <c r="I322" s="12" t="s">
        <v>2344</v>
      </c>
      <c r="J322" s="12" t="n">
        <v>4</v>
      </c>
      <c r="K322" s="12" t="s">
        <v>174</v>
      </c>
      <c r="L322" s="12" t="s">
        <v>2755</v>
      </c>
    </row>
    <row r="323" customFormat="false" ht="15" hidden="false" customHeight="false" outlineLevel="0" collapsed="false">
      <c r="A323" s="12" t="s">
        <v>3388</v>
      </c>
      <c r="B323" s="12" t="s">
        <v>2400</v>
      </c>
      <c r="C323" s="12" t="s">
        <v>3389</v>
      </c>
      <c r="D323" s="12" t="s">
        <v>1379</v>
      </c>
      <c r="E323" s="13" t="s">
        <v>3390</v>
      </c>
      <c r="F323" s="12" t="s">
        <v>2400</v>
      </c>
      <c r="G323" s="12" t="s">
        <v>3391</v>
      </c>
      <c r="H323" s="12"/>
      <c r="I323" s="12" t="s">
        <v>2344</v>
      </c>
      <c r="J323" s="12" t="n">
        <v>4</v>
      </c>
      <c r="K323" s="12" t="s">
        <v>174</v>
      </c>
      <c r="L323" s="12" t="s">
        <v>2755</v>
      </c>
    </row>
    <row r="324" customFormat="false" ht="23.85" hidden="false" customHeight="false" outlineLevel="0" collapsed="false">
      <c r="A324" s="12" t="s">
        <v>3392</v>
      </c>
      <c r="B324" s="12" t="s">
        <v>3393</v>
      </c>
      <c r="C324" s="12"/>
      <c r="D324" s="12"/>
      <c r="E324" s="13" t="s">
        <v>3394</v>
      </c>
      <c r="F324" s="12" t="s">
        <v>3393</v>
      </c>
      <c r="G324" s="12" t="s">
        <v>3395</v>
      </c>
      <c r="H324" s="12"/>
      <c r="I324" s="12" t="s">
        <v>2344</v>
      </c>
      <c r="J324" s="12" t="n">
        <v>4</v>
      </c>
      <c r="K324" s="12" t="s">
        <v>174</v>
      </c>
      <c r="L324" s="12" t="s">
        <v>2755</v>
      </c>
    </row>
    <row r="325" customFormat="false" ht="23.85" hidden="false" customHeight="false" outlineLevel="0" collapsed="false">
      <c r="A325" s="12" t="s">
        <v>1418</v>
      </c>
      <c r="B325" s="12" t="s">
        <v>3396</v>
      </c>
      <c r="C325" s="12" t="s">
        <v>228</v>
      </c>
      <c r="D325" s="12" t="s">
        <v>1379</v>
      </c>
      <c r="E325" s="13" t="s">
        <v>3397</v>
      </c>
      <c r="F325" s="12" t="s">
        <v>3396</v>
      </c>
      <c r="G325" s="12" t="s">
        <v>3398</v>
      </c>
      <c r="H325" s="12"/>
      <c r="I325" s="12" t="s">
        <v>2344</v>
      </c>
      <c r="J325" s="12" t="n">
        <v>4</v>
      </c>
      <c r="K325" s="12" t="s">
        <v>174</v>
      </c>
      <c r="L325" s="12" t="s">
        <v>2755</v>
      </c>
    </row>
    <row r="326" customFormat="false" ht="23.85" hidden="false" customHeight="false" outlineLevel="0" collapsed="false">
      <c r="A326" s="12" t="s">
        <v>1436</v>
      </c>
      <c r="B326" s="12" t="s">
        <v>3399</v>
      </c>
      <c r="C326" s="12" t="s">
        <v>3400</v>
      </c>
      <c r="D326" s="12" t="s">
        <v>1379</v>
      </c>
      <c r="E326" s="13" t="s">
        <v>3401</v>
      </c>
      <c r="F326" s="12" t="s">
        <v>3399</v>
      </c>
      <c r="G326" s="12" t="s">
        <v>3402</v>
      </c>
      <c r="H326" s="12"/>
      <c r="I326" s="12" t="s">
        <v>2344</v>
      </c>
      <c r="J326" s="12" t="n">
        <v>4</v>
      </c>
      <c r="K326" s="12" t="s">
        <v>174</v>
      </c>
      <c r="L326" s="12" t="s">
        <v>2755</v>
      </c>
    </row>
    <row r="327" customFormat="false" ht="15" hidden="false" customHeight="false" outlineLevel="0" collapsed="false">
      <c r="A327" s="12" t="s">
        <v>3403</v>
      </c>
      <c r="B327" s="12" t="s">
        <v>3404</v>
      </c>
      <c r="C327" s="12" t="s">
        <v>3405</v>
      </c>
      <c r="D327" s="12" t="s">
        <v>1385</v>
      </c>
      <c r="E327" s="13" t="s">
        <v>3406</v>
      </c>
      <c r="F327" s="12" t="s">
        <v>3404</v>
      </c>
      <c r="G327" s="12" t="s">
        <v>3407</v>
      </c>
      <c r="H327" s="12"/>
      <c r="I327" s="12" t="s">
        <v>2350</v>
      </c>
      <c r="J327" s="12" t="n">
        <v>3</v>
      </c>
      <c r="K327" s="12" t="s">
        <v>174</v>
      </c>
      <c r="L327" s="12" t="s">
        <v>2755</v>
      </c>
    </row>
    <row r="328" customFormat="false" ht="23.85" hidden="false" customHeight="false" outlineLevel="0" collapsed="false">
      <c r="A328" s="12" t="s">
        <v>3408</v>
      </c>
      <c r="B328" s="12" t="s">
        <v>3409</v>
      </c>
      <c r="C328" s="12" t="s">
        <v>3410</v>
      </c>
      <c r="D328" s="12" t="s">
        <v>1385</v>
      </c>
      <c r="E328" s="13" t="s">
        <v>3411</v>
      </c>
      <c r="F328" s="12" t="s">
        <v>3409</v>
      </c>
      <c r="G328" s="12" t="s">
        <v>3412</v>
      </c>
      <c r="H328" s="12"/>
      <c r="I328" s="12" t="s">
        <v>2350</v>
      </c>
      <c r="J328" s="12" t="n">
        <v>3</v>
      </c>
      <c r="K328" s="12" t="s">
        <v>174</v>
      </c>
      <c r="L328" s="12" t="s">
        <v>2755</v>
      </c>
    </row>
    <row r="329" customFormat="false" ht="23.85" hidden="false" customHeight="false" outlineLevel="0" collapsed="false">
      <c r="A329" s="12" t="s">
        <v>3413</v>
      </c>
      <c r="B329" s="12" t="s">
        <v>3414</v>
      </c>
      <c r="C329" s="12" t="s">
        <v>3415</v>
      </c>
      <c r="D329" s="12" t="s">
        <v>1385</v>
      </c>
      <c r="E329" s="13" t="s">
        <v>3416</v>
      </c>
      <c r="F329" s="12" t="s">
        <v>3414</v>
      </c>
      <c r="G329" s="12" t="s">
        <v>3417</v>
      </c>
      <c r="H329" s="12"/>
      <c r="I329" s="12" t="s">
        <v>2350</v>
      </c>
      <c r="J329" s="12" t="n">
        <v>3</v>
      </c>
      <c r="K329" s="12" t="s">
        <v>174</v>
      </c>
      <c r="L329" s="12" t="s">
        <v>2755</v>
      </c>
    </row>
    <row r="330" customFormat="false" ht="15" hidden="false" customHeight="false" outlineLevel="0" collapsed="false">
      <c r="A330" s="12" t="s">
        <v>3418</v>
      </c>
      <c r="B330" s="12" t="s">
        <v>3419</v>
      </c>
      <c r="C330" s="12" t="s">
        <v>3420</v>
      </c>
      <c r="D330" s="12" t="s">
        <v>1385</v>
      </c>
      <c r="E330" s="13" t="s">
        <v>3421</v>
      </c>
      <c r="F330" s="12" t="s">
        <v>3419</v>
      </c>
      <c r="G330" s="12" t="s">
        <v>3422</v>
      </c>
      <c r="H330" s="12"/>
      <c r="I330" s="12" t="s">
        <v>2350</v>
      </c>
      <c r="J330" s="12" t="n">
        <v>3</v>
      </c>
      <c r="K330" s="12" t="s">
        <v>174</v>
      </c>
      <c r="L330" s="12" t="s">
        <v>2755</v>
      </c>
    </row>
    <row r="331" customFormat="false" ht="15" hidden="false" customHeight="false" outlineLevel="0" collapsed="false">
      <c r="A331" s="12" t="s">
        <v>3423</v>
      </c>
      <c r="B331" s="12" t="s">
        <v>3424</v>
      </c>
      <c r="C331" s="12" t="s">
        <v>3425</v>
      </c>
      <c r="D331" s="12" t="s">
        <v>1385</v>
      </c>
      <c r="E331" s="13" t="s">
        <v>3426</v>
      </c>
      <c r="F331" s="12" t="s">
        <v>3424</v>
      </c>
      <c r="G331" s="12" t="s">
        <v>3427</v>
      </c>
      <c r="H331" s="12"/>
      <c r="I331" s="12" t="s">
        <v>2350</v>
      </c>
      <c r="J331" s="12" t="n">
        <v>3</v>
      </c>
      <c r="K331" s="12" t="s">
        <v>174</v>
      </c>
      <c r="L331" s="12" t="s">
        <v>2755</v>
      </c>
    </row>
    <row r="332" customFormat="false" ht="23.85" hidden="false" customHeight="false" outlineLevel="0" collapsed="false">
      <c r="A332" s="12" t="s">
        <v>3428</v>
      </c>
      <c r="B332" s="12" t="s">
        <v>3429</v>
      </c>
      <c r="C332" s="12" t="s">
        <v>3430</v>
      </c>
      <c r="D332" s="12" t="s">
        <v>1385</v>
      </c>
      <c r="E332" s="13" t="s">
        <v>3431</v>
      </c>
      <c r="F332" s="12" t="s">
        <v>3429</v>
      </c>
      <c r="G332" s="12" t="s">
        <v>3432</v>
      </c>
      <c r="H332" s="12"/>
      <c r="I332" s="12" t="s">
        <v>2344</v>
      </c>
      <c r="J332" s="12" t="n">
        <v>4</v>
      </c>
      <c r="K332" s="12" t="s">
        <v>174</v>
      </c>
      <c r="L332" s="12" t="s">
        <v>2755</v>
      </c>
    </row>
    <row r="333" customFormat="false" ht="15" hidden="false" customHeight="false" outlineLevel="0" collapsed="false">
      <c r="A333" s="12" t="s">
        <v>1480</v>
      </c>
      <c r="B333" s="12" t="s">
        <v>3433</v>
      </c>
      <c r="C333" s="12" t="s">
        <v>320</v>
      </c>
      <c r="D333" s="12" t="s">
        <v>1385</v>
      </c>
      <c r="E333" s="13" t="s">
        <v>3434</v>
      </c>
      <c r="F333" s="12" t="s">
        <v>3433</v>
      </c>
      <c r="G333" s="12" t="s">
        <v>3435</v>
      </c>
      <c r="H333" s="12"/>
      <c r="I333" s="12" t="s">
        <v>2350</v>
      </c>
      <c r="J333" s="12" t="n">
        <v>3</v>
      </c>
      <c r="K333" s="12" t="s">
        <v>174</v>
      </c>
      <c r="L333" s="12" t="s">
        <v>2755</v>
      </c>
    </row>
    <row r="334" customFormat="false" ht="23.85" hidden="false" customHeight="false" outlineLevel="0" collapsed="false">
      <c r="A334" s="12" t="s">
        <v>3436</v>
      </c>
      <c r="B334" s="12" t="s">
        <v>2573</v>
      </c>
      <c r="C334" s="12" t="s">
        <v>3437</v>
      </c>
      <c r="D334" s="12" t="s">
        <v>1385</v>
      </c>
      <c r="E334" s="13" t="s">
        <v>3438</v>
      </c>
      <c r="F334" s="12" t="s">
        <v>2573</v>
      </c>
      <c r="G334" s="12" t="s">
        <v>3439</v>
      </c>
      <c r="H334" s="12"/>
      <c r="I334" s="12" t="s">
        <v>2350</v>
      </c>
      <c r="J334" s="12" t="n">
        <v>3</v>
      </c>
      <c r="K334" s="12" t="s">
        <v>174</v>
      </c>
      <c r="L334" s="12" t="s">
        <v>2755</v>
      </c>
    </row>
    <row r="335" customFormat="false" ht="15" hidden="false" customHeight="false" outlineLevel="0" collapsed="false">
      <c r="A335" s="12" t="s">
        <v>1827</v>
      </c>
      <c r="B335" s="12" t="s">
        <v>3396</v>
      </c>
      <c r="C335" s="12" t="s">
        <v>835</v>
      </c>
      <c r="D335" s="12" t="s">
        <v>1379</v>
      </c>
      <c r="E335" s="13" t="s">
        <v>3440</v>
      </c>
      <c r="F335" s="12" t="s">
        <v>3396</v>
      </c>
      <c r="G335" s="12" t="s">
        <v>3441</v>
      </c>
      <c r="H335" s="12"/>
      <c r="I335" s="12" t="s">
        <v>2344</v>
      </c>
      <c r="J335" s="12" t="n">
        <v>4</v>
      </c>
      <c r="K335" s="12" t="s">
        <v>174</v>
      </c>
      <c r="L335" s="12" t="s">
        <v>2755</v>
      </c>
    </row>
    <row r="336" customFormat="false" ht="15" hidden="false" customHeight="false" outlineLevel="0" collapsed="false">
      <c r="A336" s="12" t="s">
        <v>3442</v>
      </c>
      <c r="B336" s="12" t="s">
        <v>3443</v>
      </c>
      <c r="C336" s="12" t="s">
        <v>2760</v>
      </c>
      <c r="D336" s="12" t="s">
        <v>1385</v>
      </c>
      <c r="E336" s="13" t="s">
        <v>2449</v>
      </c>
      <c r="F336" s="12" t="s">
        <v>3443</v>
      </c>
      <c r="G336" s="12" t="s">
        <v>3444</v>
      </c>
      <c r="H336" s="12"/>
      <c r="I336" s="12" t="s">
        <v>2350</v>
      </c>
      <c r="J336" s="12" t="n">
        <v>3</v>
      </c>
      <c r="K336" s="12" t="s">
        <v>174</v>
      </c>
      <c r="L336" s="12" t="s">
        <v>2755</v>
      </c>
    </row>
    <row r="337" customFormat="false" ht="15" hidden="false" customHeight="false" outlineLevel="0" collapsed="false">
      <c r="A337" s="12" t="s">
        <v>3445</v>
      </c>
      <c r="B337" s="12" t="s">
        <v>3446</v>
      </c>
      <c r="C337" s="12" t="s">
        <v>2760</v>
      </c>
      <c r="D337" s="12" t="s">
        <v>1385</v>
      </c>
      <c r="E337" s="13" t="s">
        <v>3447</v>
      </c>
      <c r="F337" s="12" t="s">
        <v>3446</v>
      </c>
      <c r="G337" s="12" t="s">
        <v>3448</v>
      </c>
      <c r="H337" s="12"/>
      <c r="I337" s="12" t="s">
        <v>2350</v>
      </c>
      <c r="J337" s="12" t="n">
        <v>3</v>
      </c>
      <c r="K337" s="12" t="s">
        <v>174</v>
      </c>
      <c r="L337" s="12" t="s">
        <v>2755</v>
      </c>
    </row>
    <row r="338" customFormat="false" ht="23.85" hidden="false" customHeight="false" outlineLevel="0" collapsed="false">
      <c r="A338" s="12" t="s">
        <v>3449</v>
      </c>
      <c r="B338" s="12" t="s">
        <v>2818</v>
      </c>
      <c r="C338" s="12" t="s">
        <v>3450</v>
      </c>
      <c r="D338" s="12" t="s">
        <v>1385</v>
      </c>
      <c r="E338" s="13" t="s">
        <v>3451</v>
      </c>
      <c r="F338" s="12" t="s">
        <v>2818</v>
      </c>
      <c r="G338" s="12" t="s">
        <v>3452</v>
      </c>
      <c r="H338" s="12"/>
      <c r="I338" s="12" t="s">
        <v>2350</v>
      </c>
      <c r="J338" s="12" t="n">
        <v>3</v>
      </c>
      <c r="K338" s="12" t="s">
        <v>174</v>
      </c>
      <c r="L338" s="12" t="s">
        <v>2755</v>
      </c>
    </row>
    <row r="339" customFormat="false" ht="15" hidden="false" customHeight="false" outlineLevel="0" collapsed="false">
      <c r="A339" s="12" t="s">
        <v>3453</v>
      </c>
      <c r="B339" s="12" t="s">
        <v>2429</v>
      </c>
      <c r="C339" s="12" t="s">
        <v>3454</v>
      </c>
      <c r="D339" s="12" t="s">
        <v>1385</v>
      </c>
      <c r="E339" s="13" t="s">
        <v>3455</v>
      </c>
      <c r="F339" s="12" t="s">
        <v>2429</v>
      </c>
      <c r="G339" s="12" t="s">
        <v>3456</v>
      </c>
      <c r="H339" s="12"/>
      <c r="I339" s="12" t="s">
        <v>2350</v>
      </c>
      <c r="J339" s="12" t="n">
        <v>3</v>
      </c>
      <c r="K339" s="12" t="s">
        <v>174</v>
      </c>
      <c r="L339" s="12" t="s">
        <v>2755</v>
      </c>
    </row>
    <row r="340" customFormat="false" ht="15" hidden="false" customHeight="false" outlineLevel="0" collapsed="false">
      <c r="A340" s="12" t="s">
        <v>2133</v>
      </c>
      <c r="B340" s="12" t="s">
        <v>3457</v>
      </c>
      <c r="C340" s="12"/>
      <c r="D340" s="12"/>
      <c r="E340" s="13" t="s">
        <v>3458</v>
      </c>
      <c r="F340" s="12" t="s">
        <v>3457</v>
      </c>
      <c r="G340" s="12" t="s">
        <v>3459</v>
      </c>
      <c r="H340" s="12"/>
      <c r="I340" s="12" t="s">
        <v>2350</v>
      </c>
      <c r="J340" s="12" t="n">
        <v>3</v>
      </c>
      <c r="K340" s="12" t="s">
        <v>174</v>
      </c>
      <c r="L340" s="12" t="s">
        <v>2755</v>
      </c>
    </row>
  </sheetData>
  <autoFilter ref="A1:L3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0"/>
  </cols>
  <sheetData>
    <row r="1" customFormat="false" ht="15" hidden="false" customHeight="false" outlineLevel="0" collapsed="false">
      <c r="A1" s="11" t="s">
        <v>86</v>
      </c>
      <c r="B1" s="11" t="s">
        <v>1373</v>
      </c>
      <c r="C1" s="11" t="s">
        <v>3460</v>
      </c>
    </row>
    <row r="2" customFormat="false" ht="15" hidden="false" customHeight="false" outlineLevel="0" collapsed="false">
      <c r="A2" s="12" t="s">
        <v>143</v>
      </c>
      <c r="B2" s="12" t="s">
        <v>1390</v>
      </c>
      <c r="C2" s="12" t="s">
        <v>3461</v>
      </c>
    </row>
    <row r="3" customFormat="false" ht="15" hidden="false" customHeight="false" outlineLevel="0" collapsed="false">
      <c r="A3" s="12" t="s">
        <v>143</v>
      </c>
      <c r="B3" s="12" t="s">
        <v>1634</v>
      </c>
      <c r="C3" s="12" t="s">
        <v>3461</v>
      </c>
    </row>
    <row r="4" customFormat="false" ht="15" hidden="false" customHeight="false" outlineLevel="0" collapsed="false">
      <c r="A4" s="12" t="s">
        <v>143</v>
      </c>
      <c r="B4" s="12" t="s">
        <v>1380</v>
      </c>
      <c r="C4" s="12" t="s">
        <v>3461</v>
      </c>
    </row>
    <row r="5" customFormat="false" ht="15" hidden="false" customHeight="false" outlineLevel="0" collapsed="false">
      <c r="A5" s="12" t="s">
        <v>143</v>
      </c>
      <c r="B5" s="12" t="s">
        <v>1386</v>
      </c>
      <c r="C5" s="12" t="s">
        <v>3461</v>
      </c>
    </row>
    <row r="6" customFormat="false" ht="15" hidden="false" customHeight="false" outlineLevel="0" collapsed="false">
      <c r="A6" s="12" t="s">
        <v>143</v>
      </c>
      <c r="B6" s="12" t="s">
        <v>1470</v>
      </c>
      <c r="C6" s="12" t="s">
        <v>3462</v>
      </c>
    </row>
    <row r="7" customFormat="false" ht="15" hidden="false" customHeight="false" outlineLevel="0" collapsed="false">
      <c r="A7" s="12" t="s">
        <v>143</v>
      </c>
      <c r="B7" s="12" t="s">
        <v>2759</v>
      </c>
      <c r="C7" s="12" t="s">
        <v>3462</v>
      </c>
    </row>
    <row r="8" customFormat="false" ht="15" hidden="false" customHeight="false" outlineLevel="0" collapsed="false">
      <c r="A8" s="12" t="s">
        <v>143</v>
      </c>
      <c r="B8" s="12" t="s">
        <v>2763</v>
      </c>
      <c r="C8" s="12" t="s">
        <v>3462</v>
      </c>
    </row>
    <row r="9" customFormat="false" ht="15" hidden="false" customHeight="false" outlineLevel="0" collapsed="false">
      <c r="A9" s="12" t="s">
        <v>175</v>
      </c>
      <c r="B9" s="12" t="s">
        <v>1380</v>
      </c>
      <c r="C9" s="12" t="s">
        <v>3461</v>
      </c>
    </row>
    <row r="10" customFormat="false" ht="15" hidden="false" customHeight="false" outlineLevel="0" collapsed="false">
      <c r="A10" s="12" t="s">
        <v>175</v>
      </c>
      <c r="B10" s="12" t="s">
        <v>1386</v>
      </c>
      <c r="C10" s="12" t="s">
        <v>3463</v>
      </c>
    </row>
    <row r="11" customFormat="false" ht="15" hidden="false" customHeight="false" outlineLevel="0" collapsed="false">
      <c r="A11" s="12" t="s">
        <v>175</v>
      </c>
      <c r="B11" s="12" t="s">
        <v>2759</v>
      </c>
      <c r="C11" s="12" t="s">
        <v>3462</v>
      </c>
    </row>
    <row r="12" customFormat="false" ht="15" hidden="false" customHeight="false" outlineLevel="0" collapsed="false">
      <c r="A12" s="12" t="s">
        <v>175</v>
      </c>
      <c r="B12" s="12" t="s">
        <v>2767</v>
      </c>
      <c r="C12" s="12" t="s">
        <v>3462</v>
      </c>
    </row>
    <row r="13" customFormat="false" ht="15" hidden="false" customHeight="false" outlineLevel="0" collapsed="false">
      <c r="A13" s="12" t="s">
        <v>185</v>
      </c>
      <c r="B13" s="12" t="s">
        <v>1399</v>
      </c>
      <c r="C13" s="12" t="s">
        <v>3461</v>
      </c>
    </row>
    <row r="14" customFormat="false" ht="15" hidden="false" customHeight="false" outlineLevel="0" collapsed="false">
      <c r="A14" s="12" t="s">
        <v>185</v>
      </c>
      <c r="B14" s="12" t="s">
        <v>1380</v>
      </c>
      <c r="C14" s="12" t="s">
        <v>3461</v>
      </c>
    </row>
    <row r="15" customFormat="false" ht="15" hidden="false" customHeight="false" outlineLevel="0" collapsed="false">
      <c r="A15" s="12" t="s">
        <v>185</v>
      </c>
      <c r="B15" s="12" t="s">
        <v>1386</v>
      </c>
      <c r="C15" s="12" t="s">
        <v>3463</v>
      </c>
    </row>
    <row r="16" customFormat="false" ht="15" hidden="false" customHeight="false" outlineLevel="0" collapsed="false">
      <c r="A16" s="12" t="s">
        <v>185</v>
      </c>
      <c r="B16" s="12" t="s">
        <v>2759</v>
      </c>
      <c r="C16" s="12" t="s">
        <v>3462</v>
      </c>
    </row>
    <row r="17" customFormat="false" ht="15" hidden="false" customHeight="false" outlineLevel="0" collapsed="false">
      <c r="A17" s="12" t="s">
        <v>185</v>
      </c>
      <c r="B17" s="12" t="s">
        <v>2771</v>
      </c>
      <c r="C17" s="12" t="s">
        <v>3462</v>
      </c>
    </row>
    <row r="18" customFormat="false" ht="15" hidden="false" customHeight="false" outlineLevel="0" collapsed="false">
      <c r="A18" s="12" t="s">
        <v>199</v>
      </c>
      <c r="B18" s="12" t="s">
        <v>1399</v>
      </c>
      <c r="C18" s="12" t="s">
        <v>3461</v>
      </c>
    </row>
    <row r="19" customFormat="false" ht="15" hidden="false" customHeight="false" outlineLevel="0" collapsed="false">
      <c r="A19" s="12" t="s">
        <v>199</v>
      </c>
      <c r="B19" s="12" t="s">
        <v>2606</v>
      </c>
      <c r="C19" s="12" t="s">
        <v>3461</v>
      </c>
    </row>
    <row r="20" customFormat="false" ht="15" hidden="false" customHeight="false" outlineLevel="0" collapsed="false">
      <c r="A20" s="12" t="s">
        <v>199</v>
      </c>
      <c r="B20" s="12" t="s">
        <v>1402</v>
      </c>
      <c r="C20" s="12" t="s">
        <v>3461</v>
      </c>
    </row>
    <row r="21" customFormat="false" ht="15" hidden="false" customHeight="false" outlineLevel="0" collapsed="false">
      <c r="A21" s="12" t="s">
        <v>199</v>
      </c>
      <c r="B21" s="12" t="s">
        <v>2767</v>
      </c>
      <c r="C21" s="12" t="s">
        <v>3462</v>
      </c>
    </row>
    <row r="22" customFormat="false" ht="15" hidden="false" customHeight="false" outlineLevel="0" collapsed="false">
      <c r="A22" s="12" t="s">
        <v>199</v>
      </c>
      <c r="B22" s="12" t="s">
        <v>2774</v>
      </c>
      <c r="C22" s="12" t="s">
        <v>3462</v>
      </c>
    </row>
    <row r="23" customFormat="false" ht="15" hidden="false" customHeight="false" outlineLevel="0" collapsed="false">
      <c r="A23" s="12" t="s">
        <v>199</v>
      </c>
      <c r="B23" s="12" t="s">
        <v>2778</v>
      </c>
      <c r="C23" s="12" t="s">
        <v>3462</v>
      </c>
    </row>
    <row r="24" customFormat="false" ht="15" hidden="false" customHeight="false" outlineLevel="0" collapsed="false">
      <c r="A24" s="12" t="s">
        <v>199</v>
      </c>
      <c r="B24" s="12" t="s">
        <v>2783</v>
      </c>
      <c r="C24" s="12" t="s">
        <v>3462</v>
      </c>
    </row>
    <row r="25" customFormat="false" ht="15" hidden="false" customHeight="false" outlineLevel="0" collapsed="false">
      <c r="A25" s="12" t="s">
        <v>209</v>
      </c>
      <c r="B25" s="12" t="s">
        <v>1390</v>
      </c>
      <c r="C25" s="12" t="s">
        <v>3461</v>
      </c>
    </row>
    <row r="26" customFormat="false" ht="15" hidden="false" customHeight="false" outlineLevel="0" collapsed="false">
      <c r="A26" s="12" t="s">
        <v>209</v>
      </c>
      <c r="B26" s="12" t="s">
        <v>2715</v>
      </c>
      <c r="C26" s="12" t="s">
        <v>3461</v>
      </c>
    </row>
    <row r="27" customFormat="false" ht="15" hidden="false" customHeight="false" outlineLevel="0" collapsed="false">
      <c r="A27" s="12" t="s">
        <v>209</v>
      </c>
      <c r="B27" s="12" t="s">
        <v>1634</v>
      </c>
      <c r="C27" s="12" t="s">
        <v>3461</v>
      </c>
    </row>
    <row r="28" customFormat="false" ht="15" hidden="false" customHeight="false" outlineLevel="0" collapsed="false">
      <c r="A28" s="12" t="s">
        <v>209</v>
      </c>
      <c r="B28" s="12" t="s">
        <v>1380</v>
      </c>
      <c r="C28" s="12" t="s">
        <v>3461</v>
      </c>
    </row>
    <row r="29" customFormat="false" ht="15" hidden="false" customHeight="false" outlineLevel="0" collapsed="false">
      <c r="A29" s="12" t="s">
        <v>209</v>
      </c>
      <c r="B29" s="12" t="s">
        <v>1427</v>
      </c>
      <c r="C29" s="12" t="s">
        <v>3461</v>
      </c>
    </row>
    <row r="30" customFormat="false" ht="15" hidden="false" customHeight="false" outlineLevel="0" collapsed="false">
      <c r="A30" s="12" t="s">
        <v>209</v>
      </c>
      <c r="B30" s="12" t="s">
        <v>2441</v>
      </c>
      <c r="C30" s="12" t="s">
        <v>3461</v>
      </c>
    </row>
    <row r="31" customFormat="false" ht="15" hidden="false" customHeight="false" outlineLevel="0" collapsed="false">
      <c r="A31" s="12" t="s">
        <v>209</v>
      </c>
      <c r="B31" s="12" t="s">
        <v>1386</v>
      </c>
      <c r="C31" s="12" t="s">
        <v>3463</v>
      </c>
    </row>
    <row r="32" customFormat="false" ht="15" hidden="false" customHeight="false" outlineLevel="0" collapsed="false">
      <c r="A32" s="12" t="s">
        <v>209</v>
      </c>
      <c r="B32" s="12" t="s">
        <v>1407</v>
      </c>
      <c r="C32" s="12" t="s">
        <v>3463</v>
      </c>
    </row>
    <row r="33" customFormat="false" ht="15" hidden="false" customHeight="false" outlineLevel="0" collapsed="false">
      <c r="A33" s="12" t="s">
        <v>209</v>
      </c>
      <c r="B33" s="12" t="s">
        <v>1410</v>
      </c>
      <c r="C33" s="12" t="s">
        <v>3463</v>
      </c>
    </row>
    <row r="34" customFormat="false" ht="15" hidden="false" customHeight="false" outlineLevel="0" collapsed="false">
      <c r="A34" s="12" t="s">
        <v>209</v>
      </c>
      <c r="B34" s="12" t="s">
        <v>2209</v>
      </c>
      <c r="C34" s="12" t="s">
        <v>3464</v>
      </c>
    </row>
    <row r="35" customFormat="false" ht="15" hidden="false" customHeight="false" outlineLevel="0" collapsed="false">
      <c r="A35" s="12" t="s">
        <v>223</v>
      </c>
      <c r="B35" s="12" t="s">
        <v>1380</v>
      </c>
      <c r="C35" s="12" t="s">
        <v>3461</v>
      </c>
    </row>
    <row r="36" customFormat="false" ht="15" hidden="false" customHeight="false" outlineLevel="0" collapsed="false">
      <c r="A36" s="12" t="s">
        <v>223</v>
      </c>
      <c r="B36" s="12" t="s">
        <v>1390</v>
      </c>
      <c r="C36" s="12" t="s">
        <v>3463</v>
      </c>
    </row>
    <row r="37" customFormat="false" ht="15" hidden="false" customHeight="false" outlineLevel="0" collapsed="false">
      <c r="A37" s="12" t="s">
        <v>223</v>
      </c>
      <c r="B37" s="12" t="s">
        <v>1418</v>
      </c>
      <c r="C37" s="12" t="s">
        <v>3463</v>
      </c>
    </row>
    <row r="38" customFormat="false" ht="15" hidden="false" customHeight="false" outlineLevel="0" collapsed="false">
      <c r="A38" s="12" t="s">
        <v>223</v>
      </c>
      <c r="B38" s="12" t="s">
        <v>1834</v>
      </c>
      <c r="C38" s="12" t="s">
        <v>3462</v>
      </c>
    </row>
    <row r="39" customFormat="false" ht="15" hidden="false" customHeight="false" outlineLevel="0" collapsed="false">
      <c r="A39" s="12" t="s">
        <v>223</v>
      </c>
      <c r="B39" s="12" t="s">
        <v>1427</v>
      </c>
      <c r="C39" s="12" t="s">
        <v>3462</v>
      </c>
    </row>
    <row r="40" customFormat="false" ht="15" hidden="false" customHeight="false" outlineLevel="0" collapsed="false">
      <c r="A40" s="12" t="s">
        <v>223</v>
      </c>
      <c r="B40" s="12" t="s">
        <v>2441</v>
      </c>
      <c r="C40" s="12" t="s">
        <v>3462</v>
      </c>
    </row>
    <row r="41" customFormat="false" ht="15" hidden="false" customHeight="false" outlineLevel="0" collapsed="false">
      <c r="A41" s="12" t="s">
        <v>223</v>
      </c>
      <c r="B41" s="12" t="s">
        <v>2445</v>
      </c>
      <c r="C41" s="12" t="s">
        <v>3462</v>
      </c>
    </row>
    <row r="42" customFormat="false" ht="15" hidden="false" customHeight="false" outlineLevel="0" collapsed="false">
      <c r="A42" s="12" t="s">
        <v>231</v>
      </c>
      <c r="B42" s="12" t="s">
        <v>1380</v>
      </c>
      <c r="C42" s="12" t="s">
        <v>3461</v>
      </c>
    </row>
    <row r="43" customFormat="false" ht="15" hidden="false" customHeight="false" outlineLevel="0" collapsed="false">
      <c r="A43" s="12" t="s">
        <v>231</v>
      </c>
      <c r="B43" s="12" t="s">
        <v>1390</v>
      </c>
      <c r="C43" s="12" t="s">
        <v>3463</v>
      </c>
    </row>
    <row r="44" customFormat="false" ht="15" hidden="false" customHeight="false" outlineLevel="0" collapsed="false">
      <c r="A44" s="12" t="s">
        <v>231</v>
      </c>
      <c r="B44" s="12" t="s">
        <v>1470</v>
      </c>
      <c r="C44" s="12" t="s">
        <v>3462</v>
      </c>
    </row>
    <row r="45" customFormat="false" ht="15" hidden="false" customHeight="false" outlineLevel="0" collapsed="false">
      <c r="A45" s="12" t="s">
        <v>231</v>
      </c>
      <c r="B45" s="12" t="s">
        <v>2445</v>
      </c>
      <c r="C45" s="12" t="s">
        <v>3462</v>
      </c>
    </row>
    <row r="46" customFormat="false" ht="15" hidden="false" customHeight="false" outlineLevel="0" collapsed="false">
      <c r="A46" s="12" t="s">
        <v>231</v>
      </c>
      <c r="B46" s="12" t="s">
        <v>2798</v>
      </c>
      <c r="C46" s="12" t="s">
        <v>3462</v>
      </c>
    </row>
    <row r="47" customFormat="false" ht="15" hidden="false" customHeight="false" outlineLevel="0" collapsed="false">
      <c r="A47" s="12" t="s">
        <v>231</v>
      </c>
      <c r="B47" s="12" t="s">
        <v>1418</v>
      </c>
      <c r="C47" s="12" t="s">
        <v>3462</v>
      </c>
    </row>
    <row r="48" customFormat="false" ht="15" hidden="false" customHeight="false" outlineLevel="0" collapsed="false">
      <c r="A48" s="12" t="s">
        <v>239</v>
      </c>
      <c r="B48" s="12" t="s">
        <v>1390</v>
      </c>
      <c r="C48" s="12" t="s">
        <v>3461</v>
      </c>
    </row>
    <row r="49" customFormat="false" ht="15" hidden="false" customHeight="false" outlineLevel="0" collapsed="false">
      <c r="A49" s="12" t="s">
        <v>239</v>
      </c>
      <c r="B49" s="12" t="s">
        <v>2718</v>
      </c>
      <c r="C49" s="12" t="s">
        <v>3461</v>
      </c>
    </row>
    <row r="50" customFormat="false" ht="15" hidden="false" customHeight="false" outlineLevel="0" collapsed="false">
      <c r="A50" s="12" t="s">
        <v>239</v>
      </c>
      <c r="B50" s="12" t="s">
        <v>1399</v>
      </c>
      <c r="C50" s="12" t="s">
        <v>3461</v>
      </c>
    </row>
    <row r="51" customFormat="false" ht="15" hidden="false" customHeight="false" outlineLevel="0" collapsed="false">
      <c r="A51" s="12" t="s">
        <v>239</v>
      </c>
      <c r="B51" s="12" t="s">
        <v>1427</v>
      </c>
      <c r="C51" s="12" t="s">
        <v>3461</v>
      </c>
    </row>
    <row r="52" customFormat="false" ht="15" hidden="false" customHeight="false" outlineLevel="0" collapsed="false">
      <c r="A52" s="12" t="s">
        <v>239</v>
      </c>
      <c r="B52" s="12" t="s">
        <v>1432</v>
      </c>
      <c r="C52" s="12" t="s">
        <v>3463</v>
      </c>
    </row>
    <row r="53" customFormat="false" ht="15" hidden="false" customHeight="false" outlineLevel="0" collapsed="false">
      <c r="A53" s="12" t="s">
        <v>239</v>
      </c>
      <c r="B53" s="12" t="s">
        <v>2441</v>
      </c>
      <c r="C53" s="12" t="s">
        <v>3462</v>
      </c>
    </row>
    <row r="54" customFormat="false" ht="15" hidden="false" customHeight="false" outlineLevel="0" collapsed="false">
      <c r="A54" s="12" t="s">
        <v>251</v>
      </c>
      <c r="B54" s="12" t="s">
        <v>1390</v>
      </c>
      <c r="C54" s="12" t="s">
        <v>3461</v>
      </c>
    </row>
    <row r="55" customFormat="false" ht="15" hidden="false" customHeight="false" outlineLevel="0" collapsed="false">
      <c r="A55" s="12" t="s">
        <v>251</v>
      </c>
      <c r="B55" s="12" t="s">
        <v>1380</v>
      </c>
      <c r="C55" s="12" t="s">
        <v>3461</v>
      </c>
    </row>
    <row r="56" customFormat="false" ht="15" hidden="false" customHeight="false" outlineLevel="0" collapsed="false">
      <c r="A56" s="12" t="s">
        <v>251</v>
      </c>
      <c r="B56" s="12" t="s">
        <v>1432</v>
      </c>
      <c r="C56" s="12" t="s">
        <v>3463</v>
      </c>
    </row>
    <row r="57" customFormat="false" ht="15" hidden="false" customHeight="false" outlineLevel="0" collapsed="false">
      <c r="A57" s="12" t="s">
        <v>251</v>
      </c>
      <c r="B57" s="12" t="s">
        <v>1436</v>
      </c>
      <c r="C57" s="12" t="s">
        <v>3463</v>
      </c>
    </row>
    <row r="58" customFormat="false" ht="15" hidden="false" customHeight="false" outlineLevel="0" collapsed="false">
      <c r="A58" s="12" t="s">
        <v>259</v>
      </c>
      <c r="B58" s="12" t="s">
        <v>1390</v>
      </c>
      <c r="C58" s="12" t="s">
        <v>3461</v>
      </c>
    </row>
    <row r="59" customFormat="false" ht="15" hidden="false" customHeight="false" outlineLevel="0" collapsed="false">
      <c r="A59" s="12" t="s">
        <v>259</v>
      </c>
      <c r="B59" s="12" t="s">
        <v>2721</v>
      </c>
      <c r="C59" s="12" t="s">
        <v>3461</v>
      </c>
    </row>
    <row r="60" customFormat="false" ht="15" hidden="false" customHeight="false" outlineLevel="0" collapsed="false">
      <c r="A60" s="12" t="s">
        <v>259</v>
      </c>
      <c r="B60" s="12" t="s">
        <v>1380</v>
      </c>
      <c r="C60" s="12" t="s">
        <v>3461</v>
      </c>
    </row>
    <row r="61" customFormat="false" ht="15" hidden="false" customHeight="false" outlineLevel="0" collapsed="false">
      <c r="A61" s="12" t="s">
        <v>259</v>
      </c>
      <c r="B61" s="12" t="s">
        <v>2441</v>
      </c>
      <c r="C61" s="12" t="s">
        <v>3462</v>
      </c>
    </row>
    <row r="62" customFormat="false" ht="15" hidden="false" customHeight="false" outlineLevel="0" collapsed="false">
      <c r="A62" s="12" t="s">
        <v>259</v>
      </c>
      <c r="B62" s="12" t="s">
        <v>2209</v>
      </c>
      <c r="C62" s="12" t="s">
        <v>3462</v>
      </c>
    </row>
    <row r="63" customFormat="false" ht="15" hidden="false" customHeight="false" outlineLevel="0" collapsed="false">
      <c r="A63" s="12" t="s">
        <v>259</v>
      </c>
      <c r="B63" s="12" t="s">
        <v>2801</v>
      </c>
      <c r="C63" s="12" t="s">
        <v>3462</v>
      </c>
    </row>
    <row r="64" customFormat="false" ht="15" hidden="false" customHeight="false" outlineLevel="0" collapsed="false">
      <c r="A64" s="12" t="s">
        <v>259</v>
      </c>
      <c r="B64" s="12" t="s">
        <v>2804</v>
      </c>
      <c r="C64" s="12" t="s">
        <v>3462</v>
      </c>
    </row>
    <row r="65" customFormat="false" ht="15" hidden="false" customHeight="false" outlineLevel="0" collapsed="false">
      <c r="A65" s="12" t="s">
        <v>265</v>
      </c>
      <c r="B65" s="12" t="s">
        <v>1390</v>
      </c>
      <c r="C65" s="12" t="s">
        <v>3461</v>
      </c>
    </row>
    <row r="66" customFormat="false" ht="15" hidden="false" customHeight="false" outlineLevel="0" collapsed="false">
      <c r="A66" s="12" t="s">
        <v>265</v>
      </c>
      <c r="B66" s="12" t="s">
        <v>1427</v>
      </c>
      <c r="C66" s="12" t="s">
        <v>3461</v>
      </c>
    </row>
    <row r="67" customFormat="false" ht="15" hidden="false" customHeight="false" outlineLevel="0" collapsed="false">
      <c r="A67" s="12" t="s">
        <v>265</v>
      </c>
      <c r="B67" s="12" t="s">
        <v>2441</v>
      </c>
      <c r="C67" s="12" t="s">
        <v>3461</v>
      </c>
    </row>
    <row r="68" customFormat="false" ht="15" hidden="false" customHeight="false" outlineLevel="0" collapsed="false">
      <c r="A68" s="12" t="s">
        <v>265</v>
      </c>
      <c r="B68" s="12" t="s">
        <v>1432</v>
      </c>
      <c r="C68" s="12" t="s">
        <v>3463</v>
      </c>
    </row>
    <row r="69" customFormat="false" ht="15" hidden="false" customHeight="false" outlineLevel="0" collapsed="false">
      <c r="A69" s="12" t="s">
        <v>271</v>
      </c>
      <c r="B69" s="12" t="s">
        <v>1390</v>
      </c>
      <c r="C69" s="12" t="s">
        <v>3461</v>
      </c>
    </row>
    <row r="70" customFormat="false" ht="15" hidden="false" customHeight="false" outlineLevel="0" collapsed="false">
      <c r="A70" s="12" t="s">
        <v>271</v>
      </c>
      <c r="B70" s="12" t="s">
        <v>1432</v>
      </c>
      <c r="C70" s="12" t="s">
        <v>3463</v>
      </c>
    </row>
    <row r="71" customFormat="false" ht="15" hidden="false" customHeight="false" outlineLevel="0" collapsed="false">
      <c r="A71" s="12" t="s">
        <v>271</v>
      </c>
      <c r="B71" s="12" t="s">
        <v>3403</v>
      </c>
      <c r="C71" s="12" t="s">
        <v>3462</v>
      </c>
    </row>
    <row r="72" customFormat="false" ht="15" hidden="false" customHeight="false" outlineLevel="0" collapsed="false">
      <c r="A72" s="12" t="s">
        <v>271</v>
      </c>
      <c r="B72" s="12" t="s">
        <v>3408</v>
      </c>
      <c r="C72" s="12" t="s">
        <v>3462</v>
      </c>
    </row>
    <row r="73" customFormat="false" ht="15" hidden="false" customHeight="false" outlineLevel="0" collapsed="false">
      <c r="A73" s="12" t="s">
        <v>281</v>
      </c>
      <c r="B73" s="12" t="s">
        <v>2575</v>
      </c>
      <c r="C73" s="12" t="s">
        <v>3461</v>
      </c>
    </row>
    <row r="74" customFormat="false" ht="15" hidden="false" customHeight="false" outlineLevel="0" collapsed="false">
      <c r="A74" s="12" t="s">
        <v>281</v>
      </c>
      <c r="B74" s="12" t="s">
        <v>1465</v>
      </c>
      <c r="C74" s="12" t="s">
        <v>3461</v>
      </c>
    </row>
    <row r="75" customFormat="false" ht="15" hidden="false" customHeight="false" outlineLevel="0" collapsed="false">
      <c r="A75" s="12" t="s">
        <v>281</v>
      </c>
      <c r="B75" s="12" t="s">
        <v>2750</v>
      </c>
      <c r="C75" s="12" t="s">
        <v>3461</v>
      </c>
    </row>
    <row r="76" customFormat="false" ht="15" hidden="false" customHeight="false" outlineLevel="0" collapsed="false">
      <c r="A76" s="12" t="s">
        <v>281</v>
      </c>
      <c r="B76" s="12" t="s">
        <v>1462</v>
      </c>
      <c r="C76" s="12" t="s">
        <v>3461</v>
      </c>
    </row>
    <row r="77" customFormat="false" ht="15" hidden="false" customHeight="false" outlineLevel="0" collapsed="false">
      <c r="A77" s="12" t="s">
        <v>300</v>
      </c>
      <c r="B77" s="12" t="s">
        <v>1470</v>
      </c>
      <c r="C77" s="12" t="s">
        <v>3461</v>
      </c>
    </row>
    <row r="78" customFormat="false" ht="15" hidden="false" customHeight="false" outlineLevel="0" collapsed="false">
      <c r="A78" s="12" t="s">
        <v>311</v>
      </c>
      <c r="B78" s="12" t="s">
        <v>1475</v>
      </c>
      <c r="C78" s="12" t="s">
        <v>3461</v>
      </c>
    </row>
    <row r="79" customFormat="false" ht="15" hidden="false" customHeight="false" outlineLevel="0" collapsed="false">
      <c r="A79" s="12" t="s">
        <v>311</v>
      </c>
      <c r="B79" s="12" t="s">
        <v>1480</v>
      </c>
      <c r="C79" s="12" t="s">
        <v>3463</v>
      </c>
    </row>
    <row r="80" customFormat="false" ht="15" hidden="false" customHeight="false" outlineLevel="0" collapsed="false">
      <c r="A80" s="12" t="s">
        <v>311</v>
      </c>
      <c r="B80" s="12" t="s">
        <v>1470</v>
      </c>
      <c r="C80" s="12" t="s">
        <v>3462</v>
      </c>
    </row>
    <row r="81" customFormat="false" ht="15" hidden="false" customHeight="false" outlineLevel="0" collapsed="false">
      <c r="A81" s="12" t="s">
        <v>311</v>
      </c>
      <c r="B81" s="12" t="s">
        <v>2759</v>
      </c>
      <c r="C81" s="12" t="s">
        <v>3462</v>
      </c>
    </row>
    <row r="82" customFormat="false" ht="15" hidden="false" customHeight="false" outlineLevel="0" collapsed="false">
      <c r="A82" s="12" t="s">
        <v>311</v>
      </c>
      <c r="B82" s="12" t="s">
        <v>3413</v>
      </c>
      <c r="C82" s="12" t="s">
        <v>3462</v>
      </c>
    </row>
    <row r="83" customFormat="false" ht="15" hidden="false" customHeight="false" outlineLevel="0" collapsed="false">
      <c r="A83" s="12" t="s">
        <v>311</v>
      </c>
      <c r="B83" s="12" t="s">
        <v>3418</v>
      </c>
      <c r="C83" s="12" t="s">
        <v>3462</v>
      </c>
    </row>
    <row r="84" customFormat="false" ht="15" hidden="false" customHeight="false" outlineLevel="0" collapsed="false">
      <c r="A84" s="12" t="s">
        <v>311</v>
      </c>
      <c r="B84" s="12" t="s">
        <v>3423</v>
      </c>
      <c r="C84" s="12" t="s">
        <v>3462</v>
      </c>
    </row>
    <row r="85" customFormat="false" ht="15" hidden="false" customHeight="false" outlineLevel="0" collapsed="false">
      <c r="A85" s="12" t="s">
        <v>311</v>
      </c>
      <c r="B85" s="12" t="s">
        <v>3428</v>
      </c>
      <c r="C85" s="12" t="s">
        <v>3462</v>
      </c>
    </row>
    <row r="86" customFormat="false" ht="15" hidden="false" customHeight="false" outlineLevel="0" collapsed="false">
      <c r="A86" s="12" t="s">
        <v>325</v>
      </c>
      <c r="B86" s="12" t="s">
        <v>1657</v>
      </c>
      <c r="C86" s="12" t="s">
        <v>3461</v>
      </c>
    </row>
    <row r="87" customFormat="false" ht="15" hidden="false" customHeight="false" outlineLevel="0" collapsed="false">
      <c r="A87" s="12" t="s">
        <v>325</v>
      </c>
      <c r="B87" s="12" t="s">
        <v>1486</v>
      </c>
      <c r="C87" s="12" t="s">
        <v>3463</v>
      </c>
    </row>
    <row r="88" customFormat="false" ht="15" hidden="false" customHeight="false" outlineLevel="0" collapsed="false">
      <c r="A88" s="12" t="s">
        <v>325</v>
      </c>
      <c r="B88" s="12" t="s">
        <v>1483</v>
      </c>
      <c r="C88" s="12" t="s">
        <v>3463</v>
      </c>
    </row>
    <row r="89" customFormat="false" ht="15" hidden="false" customHeight="false" outlineLevel="0" collapsed="false">
      <c r="A89" s="12" t="s">
        <v>325</v>
      </c>
      <c r="B89" s="12" t="s">
        <v>1489</v>
      </c>
      <c r="C89" s="12" t="s">
        <v>3463</v>
      </c>
    </row>
    <row r="90" customFormat="false" ht="15" hidden="false" customHeight="false" outlineLevel="0" collapsed="false">
      <c r="A90" s="12" t="s">
        <v>325</v>
      </c>
      <c r="B90" s="12" t="s">
        <v>2814</v>
      </c>
      <c r="C90" s="12" t="s">
        <v>3462</v>
      </c>
    </row>
    <row r="91" customFormat="false" ht="15" hidden="false" customHeight="false" outlineLevel="0" collapsed="false">
      <c r="A91" s="12" t="s">
        <v>340</v>
      </c>
      <c r="B91" s="12" t="s">
        <v>2598</v>
      </c>
      <c r="C91" s="12" t="s">
        <v>3461</v>
      </c>
    </row>
    <row r="92" customFormat="false" ht="15" hidden="false" customHeight="false" outlineLevel="0" collapsed="false">
      <c r="A92" s="12" t="s">
        <v>340</v>
      </c>
      <c r="B92" s="12" t="s">
        <v>1492</v>
      </c>
      <c r="C92" s="12" t="s">
        <v>3463</v>
      </c>
    </row>
    <row r="93" customFormat="false" ht="15" hidden="false" customHeight="false" outlineLevel="0" collapsed="false">
      <c r="A93" s="12" t="s">
        <v>340</v>
      </c>
      <c r="B93" s="12" t="s">
        <v>1495</v>
      </c>
      <c r="C93" s="12" t="s">
        <v>3463</v>
      </c>
    </row>
    <row r="94" customFormat="false" ht="15" hidden="false" customHeight="false" outlineLevel="0" collapsed="false">
      <c r="A94" s="12" t="s">
        <v>353</v>
      </c>
      <c r="B94" s="12" t="s">
        <v>1502</v>
      </c>
      <c r="C94" s="12" t="s">
        <v>3461</v>
      </c>
    </row>
    <row r="95" customFormat="false" ht="15" hidden="false" customHeight="false" outlineLevel="0" collapsed="false">
      <c r="A95" s="12" t="s">
        <v>353</v>
      </c>
      <c r="B95" s="12" t="s">
        <v>1498</v>
      </c>
      <c r="C95" s="12" t="s">
        <v>3463</v>
      </c>
    </row>
    <row r="96" customFormat="false" ht="15" hidden="false" customHeight="false" outlineLevel="0" collapsed="false">
      <c r="A96" s="12" t="s">
        <v>365</v>
      </c>
      <c r="B96" s="12" t="s">
        <v>2612</v>
      </c>
      <c r="C96" s="12" t="s">
        <v>3461</v>
      </c>
    </row>
    <row r="97" customFormat="false" ht="15" hidden="false" customHeight="false" outlineLevel="0" collapsed="false">
      <c r="A97" s="12" t="s">
        <v>365</v>
      </c>
      <c r="B97" s="12" t="s">
        <v>1502</v>
      </c>
      <c r="C97" s="12" t="s">
        <v>3463</v>
      </c>
    </row>
    <row r="98" customFormat="false" ht="15" hidden="false" customHeight="false" outlineLevel="0" collapsed="false">
      <c r="A98" s="12" t="s">
        <v>365</v>
      </c>
      <c r="B98" s="12" t="s">
        <v>1507</v>
      </c>
      <c r="C98" s="12" t="s">
        <v>3463</v>
      </c>
    </row>
    <row r="99" customFormat="false" ht="15" hidden="false" customHeight="false" outlineLevel="0" collapsed="false">
      <c r="A99" s="12" t="s">
        <v>377</v>
      </c>
      <c r="B99" s="12" t="s">
        <v>1561</v>
      </c>
      <c r="C99" s="12" t="s">
        <v>3461</v>
      </c>
    </row>
    <row r="100" customFormat="false" ht="15" hidden="false" customHeight="false" outlineLevel="0" collapsed="false">
      <c r="A100" s="12" t="s">
        <v>377</v>
      </c>
      <c r="B100" s="12" t="s">
        <v>1514</v>
      </c>
      <c r="C100" s="12" t="s">
        <v>3463</v>
      </c>
    </row>
    <row r="101" customFormat="false" ht="15" hidden="false" customHeight="false" outlineLevel="0" collapsed="false">
      <c r="A101" s="12" t="s">
        <v>377</v>
      </c>
      <c r="B101" s="12" t="s">
        <v>1517</v>
      </c>
      <c r="C101" s="12" t="s">
        <v>3463</v>
      </c>
    </row>
    <row r="102" customFormat="false" ht="15" hidden="false" customHeight="false" outlineLevel="0" collapsed="false">
      <c r="A102" s="12" t="s">
        <v>387</v>
      </c>
      <c r="B102" s="12" t="s">
        <v>2673</v>
      </c>
      <c r="C102" s="12" t="s">
        <v>3461</v>
      </c>
    </row>
    <row r="103" customFormat="false" ht="15" hidden="false" customHeight="false" outlineLevel="0" collapsed="false">
      <c r="A103" s="12" t="s">
        <v>387</v>
      </c>
      <c r="B103" s="12" t="s">
        <v>1526</v>
      </c>
      <c r="C103" s="12" t="s">
        <v>3461</v>
      </c>
    </row>
    <row r="104" customFormat="false" ht="15" hidden="false" customHeight="false" outlineLevel="0" collapsed="false">
      <c r="A104" s="12" t="s">
        <v>387</v>
      </c>
      <c r="B104" s="12" t="s">
        <v>2360</v>
      </c>
      <c r="C104" s="12" t="s">
        <v>3461</v>
      </c>
    </row>
    <row r="105" customFormat="false" ht="15" hidden="false" customHeight="false" outlineLevel="0" collapsed="false">
      <c r="A105" s="12" t="s">
        <v>387</v>
      </c>
      <c r="B105" s="12" t="s">
        <v>1520</v>
      </c>
      <c r="C105" s="12" t="s">
        <v>3463</v>
      </c>
    </row>
    <row r="106" customFormat="false" ht="15" hidden="false" customHeight="false" outlineLevel="0" collapsed="false">
      <c r="A106" s="12" t="s">
        <v>387</v>
      </c>
      <c r="B106" s="12" t="s">
        <v>1523</v>
      </c>
      <c r="C106" s="12" t="s">
        <v>3463</v>
      </c>
    </row>
    <row r="107" customFormat="false" ht="15" hidden="false" customHeight="false" outlineLevel="0" collapsed="false">
      <c r="A107" s="12" t="s">
        <v>387</v>
      </c>
      <c r="B107" s="12" t="s">
        <v>2280</v>
      </c>
      <c r="C107" s="12" t="s">
        <v>3464</v>
      </c>
    </row>
    <row r="108" customFormat="false" ht="15" hidden="false" customHeight="false" outlineLevel="0" collapsed="false">
      <c r="A108" s="12" t="s">
        <v>387</v>
      </c>
      <c r="B108" s="12" t="s">
        <v>2284</v>
      </c>
      <c r="C108" s="12" t="s">
        <v>3464</v>
      </c>
    </row>
    <row r="109" customFormat="false" ht="15" hidden="false" customHeight="false" outlineLevel="0" collapsed="false">
      <c r="A109" s="12" t="s">
        <v>387</v>
      </c>
      <c r="B109" s="12" t="s">
        <v>2837</v>
      </c>
      <c r="C109" s="12" t="s">
        <v>3462</v>
      </c>
    </row>
    <row r="110" customFormat="false" ht="15" hidden="false" customHeight="false" outlineLevel="0" collapsed="false">
      <c r="A110" s="12" t="s">
        <v>387</v>
      </c>
      <c r="B110" s="12" t="s">
        <v>2844</v>
      </c>
      <c r="C110" s="12" t="s">
        <v>3462</v>
      </c>
    </row>
    <row r="111" customFormat="false" ht="15" hidden="false" customHeight="false" outlineLevel="0" collapsed="false">
      <c r="A111" s="12" t="s">
        <v>406</v>
      </c>
      <c r="B111" s="12" t="s">
        <v>1529</v>
      </c>
      <c r="C111" s="12" t="s">
        <v>3461</v>
      </c>
    </row>
    <row r="112" customFormat="false" ht="15" hidden="false" customHeight="false" outlineLevel="0" collapsed="false">
      <c r="A112" s="12" t="s">
        <v>406</v>
      </c>
      <c r="B112" s="12" t="s">
        <v>1537</v>
      </c>
      <c r="C112" s="12" t="s">
        <v>3461</v>
      </c>
    </row>
    <row r="113" customFormat="false" ht="15" hidden="false" customHeight="false" outlineLevel="0" collapsed="false">
      <c r="A113" s="12" t="s">
        <v>406</v>
      </c>
      <c r="B113" s="12" t="s">
        <v>1532</v>
      </c>
      <c r="C113" s="12" t="s">
        <v>3463</v>
      </c>
    </row>
    <row r="114" customFormat="false" ht="15" hidden="false" customHeight="false" outlineLevel="0" collapsed="false">
      <c r="A114" s="12" t="s">
        <v>406</v>
      </c>
      <c r="B114" s="12" t="s">
        <v>2856</v>
      </c>
      <c r="C114" s="12" t="s">
        <v>3462</v>
      </c>
    </row>
    <row r="115" customFormat="false" ht="15" hidden="false" customHeight="false" outlineLevel="0" collapsed="false">
      <c r="A115" s="12" t="s">
        <v>406</v>
      </c>
      <c r="B115" s="12" t="s">
        <v>2860</v>
      </c>
      <c r="C115" s="12" t="s">
        <v>3462</v>
      </c>
    </row>
    <row r="116" customFormat="false" ht="15" hidden="false" customHeight="false" outlineLevel="0" collapsed="false">
      <c r="A116" s="12" t="s">
        <v>421</v>
      </c>
      <c r="B116" s="12" t="s">
        <v>1548</v>
      </c>
      <c r="C116" s="12" t="s">
        <v>3461</v>
      </c>
    </row>
    <row r="117" customFormat="false" ht="15" hidden="false" customHeight="false" outlineLevel="0" collapsed="false">
      <c r="A117" s="12" t="s">
        <v>421</v>
      </c>
      <c r="B117" s="12" t="s">
        <v>1540</v>
      </c>
      <c r="C117" s="12" t="s">
        <v>3463</v>
      </c>
    </row>
    <row r="118" customFormat="false" ht="15" hidden="false" customHeight="false" outlineLevel="0" collapsed="false">
      <c r="A118" s="12" t="s">
        <v>421</v>
      </c>
      <c r="B118" s="12" t="s">
        <v>1545</v>
      </c>
      <c r="C118" s="12" t="s">
        <v>3463</v>
      </c>
    </row>
    <row r="119" customFormat="false" ht="15" hidden="false" customHeight="false" outlineLevel="0" collapsed="false">
      <c r="A119" s="12" t="s">
        <v>421</v>
      </c>
      <c r="B119" s="12" t="s">
        <v>2866</v>
      </c>
      <c r="C119" s="12" t="s">
        <v>3462</v>
      </c>
    </row>
    <row r="120" customFormat="false" ht="15" hidden="false" customHeight="false" outlineLevel="0" collapsed="false">
      <c r="A120" s="12" t="s">
        <v>433</v>
      </c>
      <c r="B120" s="12" t="s">
        <v>1561</v>
      </c>
      <c r="C120" s="12" t="s">
        <v>3461</v>
      </c>
    </row>
    <row r="121" customFormat="false" ht="15" hidden="false" customHeight="false" outlineLevel="0" collapsed="false">
      <c r="A121" s="12" t="s">
        <v>433</v>
      </c>
      <c r="B121" s="12" t="s">
        <v>1554</v>
      </c>
      <c r="C121" s="12" t="s">
        <v>3463</v>
      </c>
    </row>
    <row r="122" customFormat="false" ht="15" hidden="false" customHeight="false" outlineLevel="0" collapsed="false">
      <c r="A122" s="12" t="s">
        <v>433</v>
      </c>
      <c r="B122" s="12" t="s">
        <v>1551</v>
      </c>
      <c r="C122" s="12" t="s">
        <v>3463</v>
      </c>
    </row>
    <row r="123" customFormat="false" ht="15" hidden="false" customHeight="false" outlineLevel="0" collapsed="false">
      <c r="A123" s="12" t="s">
        <v>433</v>
      </c>
      <c r="B123" s="12" t="s">
        <v>1558</v>
      </c>
      <c r="C123" s="12" t="s">
        <v>3463</v>
      </c>
    </row>
    <row r="124" customFormat="false" ht="15" hidden="false" customHeight="false" outlineLevel="0" collapsed="false">
      <c r="A124" s="12" t="s">
        <v>433</v>
      </c>
      <c r="B124" s="12" t="s">
        <v>2875</v>
      </c>
      <c r="C124" s="12" t="s">
        <v>3462</v>
      </c>
    </row>
    <row r="125" customFormat="false" ht="15" hidden="false" customHeight="false" outlineLevel="0" collapsed="false">
      <c r="A125" s="12" t="s">
        <v>442</v>
      </c>
      <c r="B125" s="12" t="s">
        <v>1634</v>
      </c>
      <c r="C125" s="12" t="s">
        <v>3461</v>
      </c>
    </row>
    <row r="126" customFormat="false" ht="15" hidden="false" customHeight="false" outlineLevel="0" collapsed="false">
      <c r="A126" s="12" t="s">
        <v>442</v>
      </c>
      <c r="B126" s="12" t="s">
        <v>1380</v>
      </c>
      <c r="C126" s="12" t="s">
        <v>3461</v>
      </c>
    </row>
    <row r="127" customFormat="false" ht="15" hidden="false" customHeight="false" outlineLevel="0" collapsed="false">
      <c r="A127" s="12" t="s">
        <v>442</v>
      </c>
      <c r="B127" s="12" t="s">
        <v>1567</v>
      </c>
      <c r="C127" s="12" t="s">
        <v>3461</v>
      </c>
    </row>
    <row r="128" customFormat="false" ht="15" hidden="false" customHeight="false" outlineLevel="0" collapsed="false">
      <c r="A128" s="12" t="s">
        <v>442</v>
      </c>
      <c r="B128" s="12" t="s">
        <v>2368</v>
      </c>
      <c r="C128" s="12" t="s">
        <v>3461</v>
      </c>
    </row>
    <row r="129" customFormat="false" ht="15" hidden="false" customHeight="false" outlineLevel="0" collapsed="false">
      <c r="A129" s="12" t="s">
        <v>442</v>
      </c>
      <c r="B129" s="12" t="s">
        <v>1564</v>
      </c>
      <c r="C129" s="12" t="s">
        <v>3463</v>
      </c>
    </row>
    <row r="130" customFormat="false" ht="15" hidden="false" customHeight="false" outlineLevel="0" collapsed="false">
      <c r="A130" s="12" t="s">
        <v>442</v>
      </c>
      <c r="B130" s="12" t="s">
        <v>1570</v>
      </c>
      <c r="C130" s="12" t="s">
        <v>3463</v>
      </c>
    </row>
    <row r="131" customFormat="false" ht="15" hidden="false" customHeight="false" outlineLevel="0" collapsed="false">
      <c r="A131" s="12" t="s">
        <v>442</v>
      </c>
      <c r="B131" s="12" t="s">
        <v>2886</v>
      </c>
      <c r="C131" s="12" t="s">
        <v>3462</v>
      </c>
    </row>
    <row r="132" customFormat="false" ht="15" hidden="false" customHeight="false" outlineLevel="0" collapsed="false">
      <c r="A132" s="12" t="s">
        <v>442</v>
      </c>
      <c r="B132" s="12" t="s">
        <v>2894</v>
      </c>
      <c r="C132" s="12" t="s">
        <v>3462</v>
      </c>
    </row>
    <row r="133" customFormat="false" ht="15" hidden="false" customHeight="false" outlineLevel="0" collapsed="false">
      <c r="A133" s="12" t="s">
        <v>442</v>
      </c>
      <c r="B133" s="12" t="s">
        <v>2899</v>
      </c>
      <c r="C133" s="12" t="s">
        <v>3462</v>
      </c>
    </row>
    <row r="134" customFormat="false" ht="15" hidden="false" customHeight="false" outlineLevel="0" collapsed="false">
      <c r="A134" s="12" t="s">
        <v>455</v>
      </c>
      <c r="B134" s="12" t="s">
        <v>1380</v>
      </c>
      <c r="C134" s="12" t="s">
        <v>3461</v>
      </c>
    </row>
    <row r="135" customFormat="false" ht="15" hidden="false" customHeight="false" outlineLevel="0" collapsed="false">
      <c r="A135" s="12" t="s">
        <v>455</v>
      </c>
      <c r="B135" s="12" t="s">
        <v>1570</v>
      </c>
      <c r="C135" s="12" t="s">
        <v>3463</v>
      </c>
    </row>
    <row r="136" customFormat="false" ht="15" hidden="false" customHeight="false" outlineLevel="0" collapsed="false">
      <c r="A136" s="12" t="s">
        <v>455</v>
      </c>
      <c r="B136" s="12" t="s">
        <v>1573</v>
      </c>
      <c r="C136" s="12" t="s">
        <v>3463</v>
      </c>
    </row>
    <row r="137" customFormat="false" ht="15" hidden="false" customHeight="false" outlineLevel="0" collapsed="false">
      <c r="A137" s="12" t="s">
        <v>455</v>
      </c>
      <c r="B137" s="12" t="s">
        <v>1578</v>
      </c>
      <c r="C137" s="12" t="s">
        <v>3463</v>
      </c>
    </row>
    <row r="138" customFormat="false" ht="15" hidden="false" customHeight="false" outlineLevel="0" collapsed="false">
      <c r="A138" s="12" t="s">
        <v>455</v>
      </c>
      <c r="B138" s="12" t="s">
        <v>2910</v>
      </c>
      <c r="C138" s="12" t="s">
        <v>3462</v>
      </c>
    </row>
    <row r="139" customFormat="false" ht="15" hidden="false" customHeight="false" outlineLevel="0" collapsed="false">
      <c r="A139" s="12" t="s">
        <v>455</v>
      </c>
      <c r="B139" s="12" t="s">
        <v>2914</v>
      </c>
      <c r="C139" s="12" t="s">
        <v>3462</v>
      </c>
    </row>
    <row r="140" customFormat="false" ht="15" hidden="false" customHeight="false" outlineLevel="0" collapsed="false">
      <c r="A140" s="12" t="s">
        <v>466</v>
      </c>
      <c r="B140" s="12" t="s">
        <v>2708</v>
      </c>
      <c r="C140" s="12" t="s">
        <v>3461</v>
      </c>
    </row>
    <row r="141" customFormat="false" ht="15" hidden="false" customHeight="false" outlineLevel="0" collapsed="false">
      <c r="A141" s="12" t="s">
        <v>466</v>
      </c>
      <c r="B141" s="12" t="s">
        <v>2602</v>
      </c>
      <c r="C141" s="12" t="s">
        <v>3461</v>
      </c>
    </row>
    <row r="142" customFormat="false" ht="15" hidden="false" customHeight="false" outlineLevel="0" collapsed="false">
      <c r="A142" s="12" t="s">
        <v>466</v>
      </c>
      <c r="B142" s="12" t="s">
        <v>1583</v>
      </c>
      <c r="C142" s="12" t="s">
        <v>3463</v>
      </c>
    </row>
    <row r="143" customFormat="false" ht="15" hidden="false" customHeight="false" outlineLevel="0" collapsed="false">
      <c r="A143" s="12" t="s">
        <v>466</v>
      </c>
      <c r="B143" s="12" t="s">
        <v>1586</v>
      </c>
      <c r="C143" s="12" t="s">
        <v>3463</v>
      </c>
    </row>
    <row r="144" customFormat="false" ht="15" hidden="false" customHeight="false" outlineLevel="0" collapsed="false">
      <c r="A144" s="12" t="s">
        <v>466</v>
      </c>
      <c r="B144" s="12" t="s">
        <v>2304</v>
      </c>
      <c r="C144" s="12" t="s">
        <v>3464</v>
      </c>
    </row>
    <row r="145" customFormat="false" ht="15" hidden="false" customHeight="false" outlineLevel="0" collapsed="false">
      <c r="A145" s="12" t="s">
        <v>466</v>
      </c>
      <c r="B145" s="12" t="s">
        <v>2300</v>
      </c>
      <c r="C145" s="12" t="s">
        <v>3464</v>
      </c>
    </row>
    <row r="146" customFormat="false" ht="15" hidden="false" customHeight="false" outlineLevel="0" collapsed="false">
      <c r="A146" s="12" t="s">
        <v>466</v>
      </c>
      <c r="B146" s="12" t="s">
        <v>2925</v>
      </c>
      <c r="C146" s="12" t="s">
        <v>3462</v>
      </c>
    </row>
    <row r="147" customFormat="false" ht="15" hidden="false" customHeight="false" outlineLevel="0" collapsed="false">
      <c r="A147" s="12" t="s">
        <v>466</v>
      </c>
      <c r="B147" s="12" t="s">
        <v>2934</v>
      </c>
      <c r="C147" s="12" t="s">
        <v>3462</v>
      </c>
    </row>
    <row r="148" customFormat="false" ht="15" hidden="false" customHeight="false" outlineLevel="0" collapsed="false">
      <c r="A148" s="12" t="s">
        <v>466</v>
      </c>
      <c r="B148" s="12" t="s">
        <v>2940</v>
      </c>
      <c r="C148" s="12" t="s">
        <v>3462</v>
      </c>
    </row>
    <row r="149" customFormat="false" ht="15" hidden="false" customHeight="false" outlineLevel="0" collapsed="false">
      <c r="A149" s="12" t="s">
        <v>466</v>
      </c>
      <c r="B149" s="12" t="s">
        <v>2944</v>
      </c>
      <c r="C149" s="12" t="s">
        <v>3462</v>
      </c>
    </row>
    <row r="150" customFormat="false" ht="15" hidden="false" customHeight="false" outlineLevel="0" collapsed="false">
      <c r="A150" s="12" t="s">
        <v>479</v>
      </c>
      <c r="B150" s="12" t="s">
        <v>1589</v>
      </c>
      <c r="C150" s="12" t="s">
        <v>3461</v>
      </c>
    </row>
    <row r="151" customFormat="false" ht="15" hidden="false" customHeight="false" outlineLevel="0" collapsed="false">
      <c r="A151" s="12" t="s">
        <v>479</v>
      </c>
      <c r="B151" s="12" t="s">
        <v>1592</v>
      </c>
      <c r="C151" s="12" t="s">
        <v>3463</v>
      </c>
    </row>
    <row r="152" customFormat="false" ht="15" hidden="false" customHeight="false" outlineLevel="0" collapsed="false">
      <c r="A152" s="12" t="s">
        <v>479</v>
      </c>
      <c r="B152" s="12" t="s">
        <v>2949</v>
      </c>
      <c r="C152" s="12" t="s">
        <v>3462</v>
      </c>
    </row>
    <row r="153" customFormat="false" ht="15" hidden="false" customHeight="false" outlineLevel="0" collapsed="false">
      <c r="A153" s="12" t="s">
        <v>479</v>
      </c>
      <c r="B153" s="12" t="s">
        <v>2954</v>
      </c>
      <c r="C153" s="12" t="s">
        <v>3462</v>
      </c>
    </row>
    <row r="154" customFormat="false" ht="15" hidden="false" customHeight="false" outlineLevel="0" collapsed="false">
      <c r="A154" s="12" t="s">
        <v>479</v>
      </c>
      <c r="B154" s="12" t="s">
        <v>2958</v>
      </c>
      <c r="C154" s="12" t="s">
        <v>3462</v>
      </c>
    </row>
    <row r="155" customFormat="false" ht="15" hidden="false" customHeight="false" outlineLevel="0" collapsed="false">
      <c r="A155" s="12" t="s">
        <v>479</v>
      </c>
      <c r="B155" s="12" t="s">
        <v>2965</v>
      </c>
      <c r="C155" s="12" t="s">
        <v>3462</v>
      </c>
    </row>
    <row r="156" customFormat="false" ht="15" hidden="false" customHeight="false" outlineLevel="0" collapsed="false">
      <c r="A156" s="12" t="s">
        <v>491</v>
      </c>
      <c r="B156" s="12" t="s">
        <v>2621</v>
      </c>
      <c r="C156" s="12" t="s">
        <v>3461</v>
      </c>
    </row>
    <row r="157" customFormat="false" ht="15" hidden="false" customHeight="false" outlineLevel="0" collapsed="false">
      <c r="A157" s="12" t="s">
        <v>491</v>
      </c>
      <c r="B157" s="12" t="s">
        <v>2626</v>
      </c>
      <c r="C157" s="12" t="s">
        <v>3461</v>
      </c>
    </row>
    <row r="158" customFormat="false" ht="15" hidden="false" customHeight="false" outlineLevel="0" collapsed="false">
      <c r="A158" s="12" t="s">
        <v>491</v>
      </c>
      <c r="B158" s="12" t="s">
        <v>2630</v>
      </c>
      <c r="C158" s="12" t="s">
        <v>3461</v>
      </c>
    </row>
    <row r="159" customFormat="false" ht="15" hidden="false" customHeight="false" outlineLevel="0" collapsed="false">
      <c r="A159" s="12" t="s">
        <v>491</v>
      </c>
      <c r="B159" s="12" t="s">
        <v>1595</v>
      </c>
      <c r="C159" s="12" t="s">
        <v>3461</v>
      </c>
    </row>
    <row r="160" customFormat="false" ht="15" hidden="false" customHeight="false" outlineLevel="0" collapsed="false">
      <c r="A160" s="12" t="s">
        <v>491</v>
      </c>
      <c r="B160" s="12" t="s">
        <v>1598</v>
      </c>
      <c r="C160" s="12" t="s">
        <v>3463</v>
      </c>
    </row>
    <row r="161" customFormat="false" ht="15" hidden="false" customHeight="false" outlineLevel="0" collapsed="false">
      <c r="A161" s="12" t="s">
        <v>491</v>
      </c>
      <c r="B161" s="12" t="s">
        <v>2308</v>
      </c>
      <c r="C161" s="12" t="s">
        <v>3464</v>
      </c>
    </row>
    <row r="162" customFormat="false" ht="15" hidden="false" customHeight="false" outlineLevel="0" collapsed="false">
      <c r="A162" s="12" t="s">
        <v>491</v>
      </c>
      <c r="B162" s="12" t="s">
        <v>2972</v>
      </c>
      <c r="C162" s="12" t="s">
        <v>3462</v>
      </c>
    </row>
    <row r="163" customFormat="false" ht="15" hidden="false" customHeight="false" outlineLevel="0" collapsed="false">
      <c r="A163" s="12" t="s">
        <v>503</v>
      </c>
      <c r="B163" s="12" t="s">
        <v>1634</v>
      </c>
      <c r="C163" s="12" t="s">
        <v>3461</v>
      </c>
    </row>
    <row r="164" customFormat="false" ht="15" hidden="false" customHeight="false" outlineLevel="0" collapsed="false">
      <c r="A164" s="12" t="s">
        <v>503</v>
      </c>
      <c r="B164" s="12" t="s">
        <v>2665</v>
      </c>
      <c r="C164" s="12" t="s">
        <v>3461</v>
      </c>
    </row>
    <row r="165" customFormat="false" ht="15" hidden="false" customHeight="false" outlineLevel="0" collapsed="false">
      <c r="A165" s="12" t="s">
        <v>503</v>
      </c>
      <c r="B165" s="12" t="s">
        <v>2669</v>
      </c>
      <c r="C165" s="12" t="s">
        <v>3461</v>
      </c>
    </row>
    <row r="166" customFormat="false" ht="15" hidden="false" customHeight="false" outlineLevel="0" collapsed="false">
      <c r="A166" s="12" t="s">
        <v>503</v>
      </c>
      <c r="B166" s="12" t="s">
        <v>2673</v>
      </c>
      <c r="C166" s="12" t="s">
        <v>3461</v>
      </c>
    </row>
    <row r="167" customFormat="false" ht="15" hidden="false" customHeight="false" outlineLevel="0" collapsed="false">
      <c r="A167" s="12" t="s">
        <v>503</v>
      </c>
      <c r="B167" s="12" t="s">
        <v>1601</v>
      </c>
      <c r="C167" s="12" t="s">
        <v>3463</v>
      </c>
    </row>
    <row r="168" customFormat="false" ht="15" hidden="false" customHeight="false" outlineLevel="0" collapsed="false">
      <c r="A168" s="12" t="s">
        <v>503</v>
      </c>
      <c r="B168" s="12" t="s">
        <v>1604</v>
      </c>
      <c r="C168" s="12" t="s">
        <v>3463</v>
      </c>
    </row>
    <row r="169" customFormat="false" ht="15" hidden="false" customHeight="false" outlineLevel="0" collapsed="false">
      <c r="A169" s="12" t="s">
        <v>503</v>
      </c>
      <c r="B169" s="12" t="s">
        <v>1607</v>
      </c>
      <c r="C169" s="12" t="s">
        <v>3463</v>
      </c>
    </row>
    <row r="170" customFormat="false" ht="15" hidden="false" customHeight="false" outlineLevel="0" collapsed="false">
      <c r="A170" s="12" t="s">
        <v>503</v>
      </c>
      <c r="B170" s="12" t="s">
        <v>2983</v>
      </c>
      <c r="C170" s="12" t="s">
        <v>3462</v>
      </c>
    </row>
    <row r="171" customFormat="false" ht="15" hidden="false" customHeight="false" outlineLevel="0" collapsed="false">
      <c r="A171" s="12" t="s">
        <v>503</v>
      </c>
      <c r="B171" s="12" t="s">
        <v>2990</v>
      </c>
      <c r="C171" s="12" t="s">
        <v>3462</v>
      </c>
    </row>
    <row r="172" customFormat="false" ht="15" hidden="false" customHeight="false" outlineLevel="0" collapsed="false">
      <c r="A172" s="12" t="s">
        <v>503</v>
      </c>
      <c r="B172" s="12" t="s">
        <v>2994</v>
      </c>
      <c r="C172" s="12" t="s">
        <v>3462</v>
      </c>
    </row>
    <row r="173" customFormat="false" ht="15" hidden="false" customHeight="false" outlineLevel="0" collapsed="false">
      <c r="A173" s="12" t="s">
        <v>516</v>
      </c>
      <c r="B173" s="12" t="s">
        <v>1634</v>
      </c>
      <c r="C173" s="12" t="s">
        <v>3461</v>
      </c>
    </row>
    <row r="174" customFormat="false" ht="15" hidden="false" customHeight="false" outlineLevel="0" collapsed="false">
      <c r="A174" s="12" t="s">
        <v>516</v>
      </c>
      <c r="B174" s="12" t="s">
        <v>2679</v>
      </c>
      <c r="C174" s="12" t="s">
        <v>3461</v>
      </c>
    </row>
    <row r="175" customFormat="false" ht="15" hidden="false" customHeight="false" outlineLevel="0" collapsed="false">
      <c r="A175" s="12" t="s">
        <v>516</v>
      </c>
      <c r="B175" s="12" t="s">
        <v>1610</v>
      </c>
      <c r="C175" s="12" t="s">
        <v>3463</v>
      </c>
    </row>
    <row r="176" customFormat="false" ht="15" hidden="false" customHeight="false" outlineLevel="0" collapsed="false">
      <c r="A176" s="12" t="s">
        <v>516</v>
      </c>
      <c r="B176" s="12" t="s">
        <v>1613</v>
      </c>
      <c r="C176" s="12" t="s">
        <v>3463</v>
      </c>
    </row>
    <row r="177" customFormat="false" ht="15" hidden="false" customHeight="false" outlineLevel="0" collapsed="false">
      <c r="A177" s="12" t="s">
        <v>516</v>
      </c>
      <c r="B177" s="12" t="s">
        <v>1616</v>
      </c>
      <c r="C177" s="12" t="s">
        <v>3463</v>
      </c>
    </row>
    <row r="178" customFormat="false" ht="15" hidden="false" customHeight="false" outlineLevel="0" collapsed="false">
      <c r="A178" s="12" t="s">
        <v>516</v>
      </c>
      <c r="B178" s="12" t="s">
        <v>1619</v>
      </c>
      <c r="C178" s="12" t="s">
        <v>3463</v>
      </c>
    </row>
    <row r="179" customFormat="false" ht="15" hidden="false" customHeight="false" outlineLevel="0" collapsed="false">
      <c r="A179" s="12" t="s">
        <v>516</v>
      </c>
      <c r="B179" s="12" t="s">
        <v>1622</v>
      </c>
      <c r="C179" s="12" t="s">
        <v>3463</v>
      </c>
    </row>
    <row r="180" customFormat="false" ht="15" hidden="false" customHeight="false" outlineLevel="0" collapsed="false">
      <c r="A180" s="12" t="s">
        <v>516</v>
      </c>
      <c r="B180" s="12" t="s">
        <v>2318</v>
      </c>
      <c r="C180" s="12" t="s">
        <v>3464</v>
      </c>
    </row>
    <row r="181" customFormat="false" ht="15" hidden="false" customHeight="false" outlineLevel="0" collapsed="false">
      <c r="A181" s="12" t="s">
        <v>516</v>
      </c>
      <c r="B181" s="12" t="s">
        <v>2322</v>
      </c>
      <c r="C181" s="12" t="s">
        <v>3464</v>
      </c>
    </row>
    <row r="182" customFormat="false" ht="15" hidden="false" customHeight="false" outlineLevel="0" collapsed="false">
      <c r="A182" s="12" t="s">
        <v>533</v>
      </c>
      <c r="B182" s="12" t="s">
        <v>1634</v>
      </c>
      <c r="C182" s="12" t="s">
        <v>3461</v>
      </c>
    </row>
    <row r="183" customFormat="false" ht="15" hidden="false" customHeight="false" outlineLevel="0" collapsed="false">
      <c r="A183" s="12" t="s">
        <v>533</v>
      </c>
      <c r="B183" s="12" t="s">
        <v>2682</v>
      </c>
      <c r="C183" s="12" t="s">
        <v>3461</v>
      </c>
    </row>
    <row r="184" customFormat="false" ht="15" hidden="false" customHeight="false" outlineLevel="0" collapsed="false">
      <c r="A184" s="12" t="s">
        <v>533</v>
      </c>
      <c r="B184" s="12" t="s">
        <v>1628</v>
      </c>
      <c r="C184" s="12" t="s">
        <v>3461</v>
      </c>
    </row>
    <row r="185" customFormat="false" ht="15" hidden="false" customHeight="false" outlineLevel="0" collapsed="false">
      <c r="A185" s="12" t="s">
        <v>533</v>
      </c>
      <c r="B185" s="12" t="s">
        <v>1631</v>
      </c>
      <c r="C185" s="12" t="s">
        <v>3463</v>
      </c>
    </row>
    <row r="186" customFormat="false" ht="15" hidden="false" customHeight="false" outlineLevel="0" collapsed="false">
      <c r="A186" s="12" t="s">
        <v>533</v>
      </c>
      <c r="B186" s="12" t="s">
        <v>1625</v>
      </c>
      <c r="C186" s="12" t="s">
        <v>3463</v>
      </c>
    </row>
    <row r="187" customFormat="false" ht="15" hidden="false" customHeight="false" outlineLevel="0" collapsed="false">
      <c r="A187" s="12" t="s">
        <v>533</v>
      </c>
      <c r="B187" s="12" t="s">
        <v>3021</v>
      </c>
      <c r="C187" s="12" t="s">
        <v>3462</v>
      </c>
    </row>
    <row r="188" customFormat="false" ht="15" hidden="false" customHeight="false" outlineLevel="0" collapsed="false">
      <c r="A188" s="12" t="s">
        <v>547</v>
      </c>
      <c r="B188" s="12" t="s">
        <v>1634</v>
      </c>
      <c r="C188" s="12" t="s">
        <v>3461</v>
      </c>
    </row>
    <row r="189" customFormat="false" ht="15" hidden="false" customHeight="false" outlineLevel="0" collapsed="false">
      <c r="A189" s="12" t="s">
        <v>547</v>
      </c>
      <c r="B189" s="12" t="s">
        <v>1640</v>
      </c>
      <c r="C189" s="12" t="s">
        <v>3461</v>
      </c>
    </row>
    <row r="190" customFormat="false" ht="15" hidden="false" customHeight="false" outlineLevel="0" collapsed="false">
      <c r="A190" s="12" t="s">
        <v>547</v>
      </c>
      <c r="B190" s="12" t="s">
        <v>1637</v>
      </c>
      <c r="C190" s="12" t="s">
        <v>3463</v>
      </c>
    </row>
    <row r="191" customFormat="false" ht="15" hidden="false" customHeight="false" outlineLevel="0" collapsed="false">
      <c r="A191" s="12" t="s">
        <v>562</v>
      </c>
      <c r="B191" s="12" t="s">
        <v>1390</v>
      </c>
      <c r="C191" s="12" t="s">
        <v>3461</v>
      </c>
    </row>
    <row r="192" customFormat="false" ht="15" hidden="false" customHeight="false" outlineLevel="0" collapsed="false">
      <c r="A192" s="12" t="s">
        <v>562</v>
      </c>
      <c r="B192" s="12" t="s">
        <v>2702</v>
      </c>
      <c r="C192" s="12" t="s">
        <v>3461</v>
      </c>
    </row>
    <row r="193" customFormat="false" ht="15" hidden="false" customHeight="false" outlineLevel="0" collapsed="false">
      <c r="A193" s="12" t="s">
        <v>562</v>
      </c>
      <c r="B193" s="12" t="s">
        <v>1380</v>
      </c>
      <c r="C193" s="12" t="s">
        <v>3461</v>
      </c>
    </row>
    <row r="194" customFormat="false" ht="15" hidden="false" customHeight="false" outlineLevel="0" collapsed="false">
      <c r="A194" s="12" t="s">
        <v>562</v>
      </c>
      <c r="B194" s="12" t="s">
        <v>1432</v>
      </c>
      <c r="C194" s="12" t="s">
        <v>3463</v>
      </c>
    </row>
    <row r="195" customFormat="false" ht="15" hidden="false" customHeight="false" outlineLevel="0" collapsed="false">
      <c r="A195" s="12" t="s">
        <v>562</v>
      </c>
      <c r="B195" s="12" t="s">
        <v>1645</v>
      </c>
      <c r="C195" s="12" t="s">
        <v>3463</v>
      </c>
    </row>
    <row r="196" customFormat="false" ht="15" hidden="false" customHeight="false" outlineLevel="0" collapsed="false">
      <c r="A196" s="12" t="s">
        <v>562</v>
      </c>
      <c r="B196" s="12" t="s">
        <v>1470</v>
      </c>
      <c r="C196" s="12" t="s">
        <v>3462</v>
      </c>
    </row>
    <row r="197" customFormat="false" ht="15" hidden="false" customHeight="false" outlineLevel="0" collapsed="false">
      <c r="A197" s="12" t="s">
        <v>562</v>
      </c>
      <c r="B197" s="12" t="s">
        <v>3033</v>
      </c>
      <c r="C197" s="12" t="s">
        <v>3462</v>
      </c>
    </row>
    <row r="198" customFormat="false" ht="15" hidden="false" customHeight="false" outlineLevel="0" collapsed="false">
      <c r="A198" s="12" t="s">
        <v>570</v>
      </c>
      <c r="B198" s="12" t="s">
        <v>1634</v>
      </c>
      <c r="C198" s="12" t="s">
        <v>3461</v>
      </c>
    </row>
    <row r="199" customFormat="false" ht="15" hidden="false" customHeight="false" outlineLevel="0" collapsed="false">
      <c r="A199" s="12" t="s">
        <v>570</v>
      </c>
      <c r="B199" s="12" t="s">
        <v>1657</v>
      </c>
      <c r="C199" s="12" t="s">
        <v>3461</v>
      </c>
    </row>
    <row r="200" customFormat="false" ht="15" hidden="false" customHeight="false" outlineLevel="0" collapsed="false">
      <c r="A200" s="12" t="s">
        <v>570</v>
      </c>
      <c r="B200" s="12" t="s">
        <v>1654</v>
      </c>
      <c r="C200" s="12" t="s">
        <v>3463</v>
      </c>
    </row>
    <row r="201" customFormat="false" ht="15" hidden="false" customHeight="false" outlineLevel="0" collapsed="false">
      <c r="A201" s="12" t="s">
        <v>570</v>
      </c>
      <c r="B201" s="12" t="s">
        <v>1661</v>
      </c>
      <c r="C201" s="12" t="s">
        <v>3463</v>
      </c>
    </row>
    <row r="202" customFormat="false" ht="15" hidden="false" customHeight="false" outlineLevel="0" collapsed="false">
      <c r="A202" s="12" t="s">
        <v>570</v>
      </c>
      <c r="B202" s="12" t="s">
        <v>3039</v>
      </c>
      <c r="C202" s="12" t="s">
        <v>3462</v>
      </c>
    </row>
    <row r="203" customFormat="false" ht="15" hidden="false" customHeight="false" outlineLevel="0" collapsed="false">
      <c r="A203" s="12" t="s">
        <v>570</v>
      </c>
      <c r="B203" s="12" t="s">
        <v>3043</v>
      </c>
      <c r="C203" s="12" t="s">
        <v>3462</v>
      </c>
    </row>
    <row r="204" customFormat="false" ht="15" hidden="false" customHeight="false" outlineLevel="0" collapsed="false">
      <c r="A204" s="12" t="s">
        <v>570</v>
      </c>
      <c r="B204" s="12" t="s">
        <v>3047</v>
      </c>
      <c r="C204" s="12" t="s">
        <v>3462</v>
      </c>
    </row>
    <row r="205" customFormat="false" ht="15" hidden="false" customHeight="false" outlineLevel="0" collapsed="false">
      <c r="A205" s="12" t="s">
        <v>570</v>
      </c>
      <c r="B205" s="12" t="s">
        <v>3053</v>
      </c>
      <c r="C205" s="12" t="s">
        <v>3462</v>
      </c>
    </row>
    <row r="206" customFormat="false" ht="15" hidden="false" customHeight="false" outlineLevel="0" collapsed="false">
      <c r="A206" s="12" t="s">
        <v>579</v>
      </c>
      <c r="B206" s="12" t="s">
        <v>1666</v>
      </c>
      <c r="C206" s="12" t="s">
        <v>3461</v>
      </c>
    </row>
    <row r="207" customFormat="false" ht="15" hidden="false" customHeight="false" outlineLevel="0" collapsed="false">
      <c r="A207" s="12" t="s">
        <v>579</v>
      </c>
      <c r="B207" s="12" t="s">
        <v>1671</v>
      </c>
      <c r="C207" s="12" t="s">
        <v>3461</v>
      </c>
    </row>
    <row r="208" customFormat="false" ht="15" hidden="false" customHeight="false" outlineLevel="0" collapsed="false">
      <c r="A208" s="12" t="s">
        <v>591</v>
      </c>
      <c r="B208" s="12" t="s">
        <v>1676</v>
      </c>
      <c r="C208" s="12" t="s">
        <v>3461</v>
      </c>
    </row>
    <row r="209" customFormat="false" ht="15" hidden="false" customHeight="false" outlineLevel="0" collapsed="false">
      <c r="A209" s="12" t="s">
        <v>591</v>
      </c>
      <c r="B209" s="12" t="s">
        <v>2381</v>
      </c>
      <c r="C209" s="12" t="s">
        <v>3461</v>
      </c>
    </row>
    <row r="210" customFormat="false" ht="15" hidden="false" customHeight="false" outlineLevel="0" collapsed="false">
      <c r="A210" s="12" t="s">
        <v>601</v>
      </c>
      <c r="B210" s="12" t="s">
        <v>1470</v>
      </c>
      <c r="C210" s="12" t="s">
        <v>3461</v>
      </c>
    </row>
    <row r="211" customFormat="false" ht="15" hidden="false" customHeight="false" outlineLevel="0" collapsed="false">
      <c r="A211" s="12" t="s">
        <v>605</v>
      </c>
      <c r="B211" s="12" t="s">
        <v>1470</v>
      </c>
      <c r="C211" s="12" t="s">
        <v>3461</v>
      </c>
    </row>
    <row r="212" customFormat="false" ht="15" hidden="false" customHeight="false" outlineLevel="0" collapsed="false">
      <c r="A212" s="12" t="s">
        <v>612</v>
      </c>
      <c r="B212" s="12" t="s">
        <v>1698</v>
      </c>
      <c r="C212" s="12" t="s">
        <v>3461</v>
      </c>
    </row>
    <row r="213" customFormat="false" ht="15" hidden="false" customHeight="false" outlineLevel="0" collapsed="false">
      <c r="A213" s="12" t="s">
        <v>612</v>
      </c>
      <c r="B213" s="12" t="s">
        <v>1695</v>
      </c>
      <c r="C213" s="12" t="s">
        <v>3461</v>
      </c>
    </row>
    <row r="214" customFormat="false" ht="15" hidden="false" customHeight="false" outlineLevel="0" collapsed="false">
      <c r="A214" s="12" t="s">
        <v>612</v>
      </c>
      <c r="B214" s="12" t="s">
        <v>1692</v>
      </c>
      <c r="C214" s="12" t="s">
        <v>3463</v>
      </c>
    </row>
    <row r="215" customFormat="false" ht="15" hidden="false" customHeight="false" outlineLevel="0" collapsed="false">
      <c r="A215" s="12" t="s">
        <v>612</v>
      </c>
      <c r="B215" s="12" t="s">
        <v>1689</v>
      </c>
      <c r="C215" s="12" t="s">
        <v>3463</v>
      </c>
    </row>
    <row r="216" customFormat="false" ht="15" hidden="false" customHeight="false" outlineLevel="0" collapsed="false">
      <c r="A216" s="12" t="s">
        <v>612</v>
      </c>
      <c r="B216" s="12" t="s">
        <v>3064</v>
      </c>
      <c r="C216" s="12" t="s">
        <v>3462</v>
      </c>
    </row>
    <row r="217" customFormat="false" ht="15" hidden="false" customHeight="false" outlineLevel="0" collapsed="false">
      <c r="A217" s="12" t="s">
        <v>612</v>
      </c>
      <c r="B217" s="12" t="s">
        <v>3068</v>
      </c>
      <c r="C217" s="12" t="s">
        <v>3462</v>
      </c>
    </row>
    <row r="218" customFormat="false" ht="15" hidden="false" customHeight="false" outlineLevel="0" collapsed="false">
      <c r="A218" s="12" t="s">
        <v>630</v>
      </c>
      <c r="B218" s="12" t="s">
        <v>1698</v>
      </c>
      <c r="C218" s="12" t="s">
        <v>3461</v>
      </c>
    </row>
    <row r="219" customFormat="false" ht="15" hidden="false" customHeight="false" outlineLevel="0" collapsed="false">
      <c r="A219" s="12" t="s">
        <v>637</v>
      </c>
      <c r="B219" s="12" t="s">
        <v>1709</v>
      </c>
      <c r="C219" s="12" t="s">
        <v>3461</v>
      </c>
    </row>
    <row r="220" customFormat="false" ht="15" hidden="false" customHeight="false" outlineLevel="0" collapsed="false">
      <c r="A220" s="12" t="s">
        <v>637</v>
      </c>
      <c r="B220" s="12" t="s">
        <v>1703</v>
      </c>
      <c r="C220" s="12" t="s">
        <v>3463</v>
      </c>
    </row>
    <row r="221" customFormat="false" ht="15" hidden="false" customHeight="false" outlineLevel="0" collapsed="false">
      <c r="A221" s="12" t="s">
        <v>647</v>
      </c>
      <c r="B221" s="12" t="s">
        <v>1390</v>
      </c>
      <c r="C221" s="12" t="s">
        <v>3461</v>
      </c>
    </row>
    <row r="222" customFormat="false" ht="15" hidden="false" customHeight="false" outlineLevel="0" collapsed="false">
      <c r="A222" s="12" t="s">
        <v>647</v>
      </c>
      <c r="B222" s="12" t="s">
        <v>1427</v>
      </c>
      <c r="C222" s="12" t="s">
        <v>3461</v>
      </c>
    </row>
    <row r="223" customFormat="false" ht="15" hidden="false" customHeight="false" outlineLevel="0" collapsed="false">
      <c r="A223" s="12" t="s">
        <v>655</v>
      </c>
      <c r="B223" s="12" t="s">
        <v>1718</v>
      </c>
      <c r="C223" s="12" t="s">
        <v>3461</v>
      </c>
    </row>
    <row r="224" customFormat="false" ht="15" hidden="false" customHeight="false" outlineLevel="0" collapsed="false">
      <c r="A224" s="12" t="s">
        <v>665</v>
      </c>
      <c r="B224" s="12" t="s">
        <v>1390</v>
      </c>
      <c r="C224" s="12" t="s">
        <v>3461</v>
      </c>
    </row>
    <row r="225" customFormat="false" ht="15" hidden="false" customHeight="false" outlineLevel="0" collapsed="false">
      <c r="A225" s="12" t="s">
        <v>665</v>
      </c>
      <c r="B225" s="12" t="s">
        <v>1726</v>
      </c>
      <c r="C225" s="12" t="s">
        <v>3461</v>
      </c>
    </row>
    <row r="226" customFormat="false" ht="15" hidden="false" customHeight="false" outlineLevel="0" collapsed="false">
      <c r="A226" s="12" t="s">
        <v>665</v>
      </c>
      <c r="B226" s="12" t="s">
        <v>2544</v>
      </c>
      <c r="C226" s="12" t="s">
        <v>3461</v>
      </c>
    </row>
    <row r="227" customFormat="false" ht="15" hidden="false" customHeight="false" outlineLevel="0" collapsed="false">
      <c r="A227" s="12" t="s">
        <v>665</v>
      </c>
      <c r="B227" s="12" t="s">
        <v>1432</v>
      </c>
      <c r="C227" s="12" t="s">
        <v>3463</v>
      </c>
    </row>
    <row r="228" customFormat="false" ht="15" hidden="false" customHeight="false" outlineLevel="0" collapsed="false">
      <c r="A228" s="12" t="s">
        <v>665</v>
      </c>
      <c r="B228" s="12" t="s">
        <v>1723</v>
      </c>
      <c r="C228" s="12" t="s">
        <v>3463</v>
      </c>
    </row>
    <row r="229" customFormat="false" ht="15" hidden="false" customHeight="false" outlineLevel="0" collapsed="false">
      <c r="A229" s="12" t="s">
        <v>665</v>
      </c>
      <c r="B229" s="12" t="s">
        <v>2248</v>
      </c>
      <c r="C229" s="12" t="s">
        <v>3464</v>
      </c>
    </row>
    <row r="230" customFormat="false" ht="15" hidden="false" customHeight="false" outlineLevel="0" collapsed="false">
      <c r="A230" s="12" t="s">
        <v>665</v>
      </c>
      <c r="B230" s="12" t="s">
        <v>2252</v>
      </c>
      <c r="C230" s="12" t="s">
        <v>3464</v>
      </c>
    </row>
    <row r="231" customFormat="false" ht="15" hidden="false" customHeight="false" outlineLevel="0" collapsed="false">
      <c r="A231" s="12" t="s">
        <v>674</v>
      </c>
      <c r="B231" s="12" t="s">
        <v>1735</v>
      </c>
      <c r="C231" s="12" t="s">
        <v>3461</v>
      </c>
    </row>
    <row r="232" customFormat="false" ht="15" hidden="false" customHeight="false" outlineLevel="0" collapsed="false">
      <c r="A232" s="12" t="s">
        <v>682</v>
      </c>
      <c r="B232" s="12" t="s">
        <v>1390</v>
      </c>
      <c r="C232" s="12" t="s">
        <v>3461</v>
      </c>
    </row>
    <row r="233" customFormat="false" ht="15" hidden="false" customHeight="false" outlineLevel="0" collapsed="false">
      <c r="A233" s="12" t="s">
        <v>682</v>
      </c>
      <c r="B233" s="12" t="s">
        <v>1740</v>
      </c>
      <c r="C233" s="12" t="s">
        <v>3461</v>
      </c>
    </row>
    <row r="234" customFormat="false" ht="15" hidden="false" customHeight="false" outlineLevel="0" collapsed="false">
      <c r="A234" s="12" t="s">
        <v>682</v>
      </c>
      <c r="B234" s="12" t="s">
        <v>2459</v>
      </c>
      <c r="C234" s="12" t="s">
        <v>3461</v>
      </c>
    </row>
    <row r="235" customFormat="false" ht="15" hidden="false" customHeight="false" outlineLevel="0" collapsed="false">
      <c r="A235" s="12" t="s">
        <v>682</v>
      </c>
      <c r="B235" s="12" t="s">
        <v>1427</v>
      </c>
      <c r="C235" s="12" t="s">
        <v>3462</v>
      </c>
    </row>
    <row r="236" customFormat="false" ht="15" hidden="false" customHeight="false" outlineLevel="0" collapsed="false">
      <c r="A236" s="12" t="s">
        <v>692</v>
      </c>
      <c r="B236" s="12" t="s">
        <v>1745</v>
      </c>
      <c r="C236" s="12" t="s">
        <v>3461</v>
      </c>
    </row>
    <row r="237" customFormat="false" ht="15" hidden="false" customHeight="false" outlineLevel="0" collapsed="false">
      <c r="A237" s="12" t="s">
        <v>692</v>
      </c>
      <c r="B237" s="12" t="s">
        <v>1748</v>
      </c>
      <c r="C237" s="12" t="s">
        <v>3461</v>
      </c>
    </row>
    <row r="238" customFormat="false" ht="15" hidden="false" customHeight="false" outlineLevel="0" collapsed="false">
      <c r="A238" s="12" t="s">
        <v>707</v>
      </c>
      <c r="B238" s="12" t="s">
        <v>1753</v>
      </c>
      <c r="C238" s="12" t="s">
        <v>3461</v>
      </c>
    </row>
    <row r="239" customFormat="false" ht="15" hidden="false" customHeight="false" outlineLevel="0" collapsed="false">
      <c r="A239" s="12" t="s">
        <v>1305</v>
      </c>
      <c r="B239" s="12" t="s">
        <v>1758</v>
      </c>
      <c r="C239" s="12" t="s">
        <v>3461</v>
      </c>
    </row>
    <row r="240" customFormat="false" ht="15" hidden="false" customHeight="false" outlineLevel="0" collapsed="false">
      <c r="A240" s="12" t="s">
        <v>1305</v>
      </c>
      <c r="B240" s="12" t="s">
        <v>1761</v>
      </c>
      <c r="C240" s="12" t="s">
        <v>3463</v>
      </c>
    </row>
    <row r="241" customFormat="false" ht="15" hidden="false" customHeight="false" outlineLevel="0" collapsed="false">
      <c r="A241" s="12" t="s">
        <v>1305</v>
      </c>
      <c r="B241" s="12" t="s">
        <v>3084</v>
      </c>
      <c r="C241" s="12" t="s">
        <v>3462</v>
      </c>
    </row>
    <row r="242" customFormat="false" ht="15" hidden="false" customHeight="false" outlineLevel="0" collapsed="false">
      <c r="A242" s="12" t="s">
        <v>1305</v>
      </c>
      <c r="B242" s="12" t="s">
        <v>3088</v>
      </c>
      <c r="C242" s="12" t="s">
        <v>3462</v>
      </c>
    </row>
    <row r="243" customFormat="false" ht="15" hidden="false" customHeight="false" outlineLevel="0" collapsed="false">
      <c r="A243" s="12" t="s">
        <v>1305</v>
      </c>
      <c r="B243" s="12" t="s">
        <v>3092</v>
      </c>
      <c r="C243" s="12" t="s">
        <v>3462</v>
      </c>
    </row>
    <row r="244" customFormat="false" ht="15" hidden="false" customHeight="false" outlineLevel="0" collapsed="false">
      <c r="A244" s="12" t="s">
        <v>721</v>
      </c>
      <c r="B244" s="12" t="s">
        <v>1390</v>
      </c>
      <c r="C244" s="12" t="s">
        <v>3461</v>
      </c>
    </row>
    <row r="245" customFormat="false" ht="15" hidden="false" customHeight="false" outlineLevel="0" collapsed="false">
      <c r="A245" s="12" t="s">
        <v>721</v>
      </c>
      <c r="B245" s="12" t="s">
        <v>1427</v>
      </c>
      <c r="C245" s="12" t="s">
        <v>3461</v>
      </c>
    </row>
    <row r="246" customFormat="false" ht="15" hidden="false" customHeight="false" outlineLevel="0" collapsed="false">
      <c r="A246" s="12" t="s">
        <v>721</v>
      </c>
      <c r="B246" s="12" t="s">
        <v>1432</v>
      </c>
      <c r="C246" s="12" t="s">
        <v>3463</v>
      </c>
    </row>
    <row r="247" customFormat="false" ht="15" hidden="false" customHeight="false" outlineLevel="0" collapsed="false">
      <c r="A247" s="12" t="s">
        <v>721</v>
      </c>
      <c r="B247" s="12" t="s">
        <v>1418</v>
      </c>
      <c r="C247" s="12" t="s">
        <v>3463</v>
      </c>
    </row>
    <row r="248" customFormat="false" ht="15" hidden="false" customHeight="false" outlineLevel="0" collapsed="false">
      <c r="A248" s="12" t="s">
        <v>721</v>
      </c>
      <c r="B248" s="12" t="s">
        <v>3099</v>
      </c>
      <c r="C248" s="12" t="s">
        <v>3462</v>
      </c>
    </row>
    <row r="249" customFormat="false" ht="15" hidden="false" customHeight="false" outlineLevel="0" collapsed="false">
      <c r="A249" s="12" t="s">
        <v>726</v>
      </c>
      <c r="B249" s="12" t="s">
        <v>1770</v>
      </c>
      <c r="C249" s="12" t="s">
        <v>3461</v>
      </c>
    </row>
    <row r="250" customFormat="false" ht="15" hidden="false" customHeight="false" outlineLevel="0" collapsed="false">
      <c r="A250" s="12" t="s">
        <v>726</v>
      </c>
      <c r="B250" s="12" t="s">
        <v>1537</v>
      </c>
      <c r="C250" s="12" t="s">
        <v>3461</v>
      </c>
    </row>
    <row r="251" customFormat="false" ht="15" hidden="false" customHeight="false" outlineLevel="0" collapsed="false">
      <c r="A251" s="12" t="s">
        <v>726</v>
      </c>
      <c r="B251" s="12" t="s">
        <v>3103</v>
      </c>
      <c r="C251" s="12" t="s">
        <v>3462</v>
      </c>
    </row>
    <row r="252" customFormat="false" ht="15" hidden="false" customHeight="false" outlineLevel="0" collapsed="false">
      <c r="A252" s="12" t="s">
        <v>738</v>
      </c>
      <c r="B252" s="12" t="s">
        <v>1778</v>
      </c>
      <c r="C252" s="12" t="s">
        <v>3461</v>
      </c>
    </row>
    <row r="253" customFormat="false" ht="15" hidden="false" customHeight="false" outlineLevel="0" collapsed="false">
      <c r="A253" s="12" t="s">
        <v>738</v>
      </c>
      <c r="B253" s="12" t="s">
        <v>1427</v>
      </c>
      <c r="C253" s="12" t="s">
        <v>3461</v>
      </c>
    </row>
    <row r="254" customFormat="false" ht="15" hidden="false" customHeight="false" outlineLevel="0" collapsed="false">
      <c r="A254" s="12" t="s">
        <v>738</v>
      </c>
      <c r="B254" s="12" t="s">
        <v>1775</v>
      </c>
      <c r="C254" s="12" t="s">
        <v>3463</v>
      </c>
    </row>
    <row r="255" customFormat="false" ht="15" hidden="false" customHeight="false" outlineLevel="0" collapsed="false">
      <c r="A255" s="12" t="s">
        <v>748</v>
      </c>
      <c r="B255" s="12" t="s">
        <v>1784</v>
      </c>
      <c r="C255" s="12" t="s">
        <v>3461</v>
      </c>
    </row>
    <row r="256" customFormat="false" ht="15" hidden="false" customHeight="false" outlineLevel="0" collapsed="false">
      <c r="A256" s="12" t="s">
        <v>748</v>
      </c>
      <c r="B256" s="12" t="s">
        <v>1781</v>
      </c>
      <c r="C256" s="12" t="s">
        <v>3463</v>
      </c>
    </row>
    <row r="257" customFormat="false" ht="15" hidden="false" customHeight="false" outlineLevel="0" collapsed="false">
      <c r="A257" s="12" t="s">
        <v>761</v>
      </c>
      <c r="B257" s="12" t="s">
        <v>1427</v>
      </c>
      <c r="C257" s="12" t="s">
        <v>3461</v>
      </c>
    </row>
    <row r="258" customFormat="false" ht="15" hidden="false" customHeight="false" outlineLevel="0" collapsed="false">
      <c r="A258" s="12" t="s">
        <v>761</v>
      </c>
      <c r="B258" s="12" t="s">
        <v>1787</v>
      </c>
      <c r="C258" s="12" t="s">
        <v>3463</v>
      </c>
    </row>
    <row r="259" customFormat="false" ht="15" hidden="false" customHeight="false" outlineLevel="0" collapsed="false">
      <c r="A259" s="12" t="s">
        <v>761</v>
      </c>
      <c r="B259" s="12" t="s">
        <v>1790</v>
      </c>
      <c r="C259" s="12" t="s">
        <v>3463</v>
      </c>
    </row>
    <row r="260" customFormat="false" ht="15" hidden="false" customHeight="false" outlineLevel="0" collapsed="false">
      <c r="A260" s="12" t="s">
        <v>761</v>
      </c>
      <c r="B260" s="12" t="s">
        <v>3118</v>
      </c>
      <c r="C260" s="12" t="s">
        <v>3462</v>
      </c>
    </row>
    <row r="261" customFormat="false" ht="15" hidden="false" customHeight="false" outlineLevel="0" collapsed="false">
      <c r="A261" s="12" t="s">
        <v>761</v>
      </c>
      <c r="B261" s="12" t="s">
        <v>3123</v>
      </c>
      <c r="C261" s="12" t="s">
        <v>3462</v>
      </c>
    </row>
    <row r="262" customFormat="false" ht="15" hidden="false" customHeight="false" outlineLevel="0" collapsed="false">
      <c r="A262" s="12" t="s">
        <v>770</v>
      </c>
      <c r="B262" s="12" t="s">
        <v>1793</v>
      </c>
      <c r="C262" s="12" t="s">
        <v>3461</v>
      </c>
    </row>
    <row r="263" customFormat="false" ht="15" hidden="false" customHeight="false" outlineLevel="0" collapsed="false">
      <c r="A263" s="12" t="s">
        <v>770</v>
      </c>
      <c r="B263" s="12" t="s">
        <v>3436</v>
      </c>
      <c r="C263" s="12" t="s">
        <v>3462</v>
      </c>
    </row>
    <row r="264" customFormat="false" ht="15" hidden="false" customHeight="false" outlineLevel="0" collapsed="false">
      <c r="A264" s="12" t="s">
        <v>784</v>
      </c>
      <c r="B264" s="12" t="s">
        <v>1634</v>
      </c>
      <c r="C264" s="12" t="s">
        <v>3461</v>
      </c>
    </row>
    <row r="265" customFormat="false" ht="15" hidden="false" customHeight="false" outlineLevel="0" collapsed="false">
      <c r="A265" s="12" t="s">
        <v>784</v>
      </c>
      <c r="B265" s="12" t="s">
        <v>2485</v>
      </c>
      <c r="C265" s="12" t="s">
        <v>3461</v>
      </c>
    </row>
    <row r="266" customFormat="false" ht="15" hidden="false" customHeight="false" outlineLevel="0" collapsed="false">
      <c r="A266" s="12" t="s">
        <v>784</v>
      </c>
      <c r="B266" s="12" t="s">
        <v>2691</v>
      </c>
      <c r="C266" s="12" t="s">
        <v>3461</v>
      </c>
    </row>
    <row r="267" customFormat="false" ht="15" hidden="false" customHeight="false" outlineLevel="0" collapsed="false">
      <c r="A267" s="12" t="s">
        <v>784</v>
      </c>
      <c r="B267" s="12" t="s">
        <v>1798</v>
      </c>
      <c r="C267" s="12" t="s">
        <v>3463</v>
      </c>
    </row>
    <row r="268" customFormat="false" ht="15" hidden="false" customHeight="false" outlineLevel="0" collapsed="false">
      <c r="A268" s="12" t="s">
        <v>784</v>
      </c>
      <c r="B268" s="12" t="s">
        <v>1801</v>
      </c>
      <c r="C268" s="12" t="s">
        <v>3463</v>
      </c>
    </row>
    <row r="269" customFormat="false" ht="15" hidden="false" customHeight="false" outlineLevel="0" collapsed="false">
      <c r="A269" s="12" t="s">
        <v>784</v>
      </c>
      <c r="B269" s="12" t="s">
        <v>1804</v>
      </c>
      <c r="C269" s="12" t="s">
        <v>3463</v>
      </c>
    </row>
    <row r="270" customFormat="false" ht="15" hidden="false" customHeight="false" outlineLevel="0" collapsed="false">
      <c r="A270" s="12" t="s">
        <v>784</v>
      </c>
      <c r="B270" s="12" t="s">
        <v>1807</v>
      </c>
      <c r="C270" s="12" t="s">
        <v>3463</v>
      </c>
    </row>
    <row r="271" customFormat="false" ht="15" hidden="false" customHeight="false" outlineLevel="0" collapsed="false">
      <c r="A271" s="12" t="s">
        <v>784</v>
      </c>
      <c r="B271" s="12" t="s">
        <v>3135</v>
      </c>
      <c r="C271" s="12" t="s">
        <v>3462</v>
      </c>
    </row>
    <row r="272" customFormat="false" ht="15" hidden="false" customHeight="false" outlineLevel="0" collapsed="false">
      <c r="A272" s="12" t="s">
        <v>796</v>
      </c>
      <c r="B272" s="12" t="s">
        <v>1427</v>
      </c>
      <c r="C272" s="12" t="s">
        <v>3461</v>
      </c>
    </row>
    <row r="273" customFormat="false" ht="15" hidden="false" customHeight="false" outlineLevel="0" collapsed="false">
      <c r="A273" s="12" t="s">
        <v>808</v>
      </c>
      <c r="B273" s="12" t="s">
        <v>1812</v>
      </c>
      <c r="C273" s="12" t="s">
        <v>3461</v>
      </c>
    </row>
    <row r="274" customFormat="false" ht="15" hidden="false" customHeight="false" outlineLevel="0" collapsed="false">
      <c r="A274" s="12" t="s">
        <v>808</v>
      </c>
      <c r="B274" s="12" t="s">
        <v>1537</v>
      </c>
      <c r="C274" s="12" t="s">
        <v>3461</v>
      </c>
    </row>
    <row r="275" customFormat="false" ht="15" hidden="false" customHeight="false" outlineLevel="0" collapsed="false">
      <c r="A275" s="12" t="s">
        <v>808</v>
      </c>
      <c r="B275" s="12" t="s">
        <v>1815</v>
      </c>
      <c r="C275" s="12" t="s">
        <v>3463</v>
      </c>
    </row>
    <row r="276" customFormat="false" ht="15" hidden="false" customHeight="false" outlineLevel="0" collapsed="false">
      <c r="A276" s="12" t="s">
        <v>808</v>
      </c>
      <c r="B276" s="12" t="s">
        <v>3141</v>
      </c>
      <c r="C276" s="12" t="s">
        <v>3462</v>
      </c>
    </row>
    <row r="277" customFormat="false" ht="15" hidden="false" customHeight="false" outlineLevel="0" collapsed="false">
      <c r="A277" s="12" t="s">
        <v>808</v>
      </c>
      <c r="B277" s="12" t="s">
        <v>3144</v>
      </c>
      <c r="C277" s="12" t="s">
        <v>3462</v>
      </c>
    </row>
    <row r="278" customFormat="false" ht="15" hidden="false" customHeight="false" outlineLevel="0" collapsed="false">
      <c r="A278" s="12" t="s">
        <v>808</v>
      </c>
      <c r="B278" s="12" t="s">
        <v>3149</v>
      </c>
      <c r="C278" s="12" t="s">
        <v>3462</v>
      </c>
    </row>
    <row r="279" customFormat="false" ht="15" hidden="false" customHeight="false" outlineLevel="0" collapsed="false">
      <c r="A279" s="12" t="s">
        <v>808</v>
      </c>
      <c r="B279" s="12" t="s">
        <v>3153</v>
      </c>
      <c r="C279" s="12" t="s">
        <v>3462</v>
      </c>
    </row>
    <row r="280" customFormat="false" ht="15" hidden="false" customHeight="false" outlineLevel="0" collapsed="false">
      <c r="A280" s="12" t="s">
        <v>821</v>
      </c>
      <c r="B280" s="12" t="s">
        <v>1390</v>
      </c>
      <c r="C280" s="12" t="s">
        <v>3461</v>
      </c>
    </row>
    <row r="281" customFormat="false" ht="15" hidden="false" customHeight="false" outlineLevel="0" collapsed="false">
      <c r="A281" s="12" t="s">
        <v>821</v>
      </c>
      <c r="B281" s="12" t="s">
        <v>1470</v>
      </c>
      <c r="C281" s="12" t="s">
        <v>3461</v>
      </c>
    </row>
    <row r="282" customFormat="false" ht="15" hidden="false" customHeight="false" outlineLevel="0" collapsed="false">
      <c r="A282" s="12" t="s">
        <v>821</v>
      </c>
      <c r="B282" s="12" t="s">
        <v>1432</v>
      </c>
      <c r="C282" s="12" t="s">
        <v>3463</v>
      </c>
    </row>
    <row r="283" customFormat="false" ht="15" hidden="false" customHeight="false" outlineLevel="0" collapsed="false">
      <c r="A283" s="12" t="s">
        <v>821</v>
      </c>
      <c r="B283" s="12" t="s">
        <v>1822</v>
      </c>
      <c r="C283" s="12" t="s">
        <v>3463</v>
      </c>
    </row>
    <row r="284" customFormat="false" ht="15" hidden="false" customHeight="false" outlineLevel="0" collapsed="false">
      <c r="A284" s="12" t="s">
        <v>827</v>
      </c>
      <c r="B284" s="12" t="s">
        <v>1390</v>
      </c>
      <c r="C284" s="12" t="s">
        <v>3461</v>
      </c>
    </row>
    <row r="285" customFormat="false" ht="15" hidden="false" customHeight="false" outlineLevel="0" collapsed="false">
      <c r="A285" s="12" t="s">
        <v>827</v>
      </c>
      <c r="B285" s="12" t="s">
        <v>2712</v>
      </c>
      <c r="C285" s="12" t="s">
        <v>3461</v>
      </c>
    </row>
    <row r="286" customFormat="false" ht="15" hidden="false" customHeight="false" outlineLevel="0" collapsed="false">
      <c r="A286" s="12" t="s">
        <v>827</v>
      </c>
      <c r="B286" s="12" t="s">
        <v>1399</v>
      </c>
      <c r="C286" s="12" t="s">
        <v>3461</v>
      </c>
    </row>
    <row r="287" customFormat="false" ht="15" hidden="false" customHeight="false" outlineLevel="0" collapsed="false">
      <c r="A287" s="12" t="s">
        <v>827</v>
      </c>
      <c r="B287" s="12" t="s">
        <v>1380</v>
      </c>
      <c r="C287" s="12" t="s">
        <v>3461</v>
      </c>
    </row>
    <row r="288" customFormat="false" ht="15" hidden="false" customHeight="false" outlineLevel="0" collapsed="false">
      <c r="A288" s="12" t="s">
        <v>827</v>
      </c>
      <c r="B288" s="12" t="s">
        <v>2445</v>
      </c>
      <c r="C288" s="12" t="s">
        <v>3461</v>
      </c>
    </row>
    <row r="289" customFormat="false" ht="15" hidden="false" customHeight="false" outlineLevel="0" collapsed="false">
      <c r="A289" s="12" t="s">
        <v>827</v>
      </c>
      <c r="B289" s="12" t="s">
        <v>1432</v>
      </c>
      <c r="C289" s="12" t="s">
        <v>3463</v>
      </c>
    </row>
    <row r="290" customFormat="false" ht="15" hidden="false" customHeight="false" outlineLevel="0" collapsed="false">
      <c r="A290" s="12" t="s">
        <v>827</v>
      </c>
      <c r="B290" s="12" t="s">
        <v>1827</v>
      </c>
      <c r="C290" s="12" t="s">
        <v>3463</v>
      </c>
    </row>
    <row r="291" customFormat="false" ht="15" hidden="false" customHeight="false" outlineLevel="0" collapsed="false">
      <c r="A291" s="12" t="s">
        <v>827</v>
      </c>
      <c r="B291" s="12" t="s">
        <v>1418</v>
      </c>
      <c r="C291" s="12" t="s">
        <v>3462</v>
      </c>
    </row>
    <row r="292" customFormat="false" ht="15" hidden="false" customHeight="false" outlineLevel="0" collapsed="false">
      <c r="A292" s="12" t="s">
        <v>837</v>
      </c>
      <c r="B292" s="12" t="s">
        <v>1390</v>
      </c>
      <c r="C292" s="12" t="s">
        <v>3461</v>
      </c>
    </row>
    <row r="293" customFormat="false" ht="15" hidden="false" customHeight="false" outlineLevel="0" collapsed="false">
      <c r="A293" s="12" t="s">
        <v>837</v>
      </c>
      <c r="B293" s="12" t="s">
        <v>1834</v>
      </c>
      <c r="C293" s="12" t="s">
        <v>3461</v>
      </c>
    </row>
    <row r="294" customFormat="false" ht="15" hidden="false" customHeight="false" outlineLevel="0" collapsed="false">
      <c r="A294" s="12" t="s">
        <v>837</v>
      </c>
      <c r="B294" s="12" t="s">
        <v>1427</v>
      </c>
      <c r="C294" s="12" t="s">
        <v>3461</v>
      </c>
    </row>
    <row r="295" customFormat="false" ht="15" hidden="false" customHeight="false" outlineLevel="0" collapsed="false">
      <c r="A295" s="12" t="s">
        <v>837</v>
      </c>
      <c r="B295" s="12" t="s">
        <v>1432</v>
      </c>
      <c r="C295" s="12" t="s">
        <v>3463</v>
      </c>
    </row>
    <row r="296" customFormat="false" ht="15" hidden="false" customHeight="false" outlineLevel="0" collapsed="false">
      <c r="A296" s="12" t="s">
        <v>843</v>
      </c>
      <c r="B296" s="12" t="s">
        <v>1390</v>
      </c>
      <c r="C296" s="12" t="s">
        <v>3461</v>
      </c>
    </row>
    <row r="297" customFormat="false" ht="15" hidden="false" customHeight="false" outlineLevel="0" collapsed="false">
      <c r="A297" s="12" t="s">
        <v>843</v>
      </c>
      <c r="B297" s="12" t="s">
        <v>1834</v>
      </c>
      <c r="C297" s="12" t="s">
        <v>3461</v>
      </c>
    </row>
    <row r="298" customFormat="false" ht="15" hidden="false" customHeight="false" outlineLevel="0" collapsed="false">
      <c r="A298" s="12" t="s">
        <v>843</v>
      </c>
      <c r="B298" s="12" t="s">
        <v>1427</v>
      </c>
      <c r="C298" s="12" t="s">
        <v>3461</v>
      </c>
    </row>
    <row r="299" customFormat="false" ht="15" hidden="false" customHeight="false" outlineLevel="0" collapsed="false">
      <c r="A299" s="12" t="s">
        <v>843</v>
      </c>
      <c r="B299" s="12" t="s">
        <v>1432</v>
      </c>
      <c r="C299" s="12" t="s">
        <v>3463</v>
      </c>
    </row>
    <row r="300" customFormat="false" ht="15" hidden="false" customHeight="false" outlineLevel="0" collapsed="false">
      <c r="A300" s="12" t="s">
        <v>848</v>
      </c>
      <c r="B300" s="12" t="s">
        <v>1390</v>
      </c>
      <c r="C300" s="12" t="s">
        <v>3461</v>
      </c>
    </row>
    <row r="301" customFormat="false" ht="15" hidden="false" customHeight="false" outlineLevel="0" collapsed="false">
      <c r="A301" s="12" t="s">
        <v>848</v>
      </c>
      <c r="B301" s="12" t="s">
        <v>2724</v>
      </c>
      <c r="C301" s="12" t="s">
        <v>3461</v>
      </c>
    </row>
    <row r="302" customFormat="false" ht="15" hidden="false" customHeight="false" outlineLevel="0" collapsed="false">
      <c r="A302" s="12" t="s">
        <v>848</v>
      </c>
      <c r="B302" s="12" t="s">
        <v>1427</v>
      </c>
      <c r="C302" s="12" t="s">
        <v>3461</v>
      </c>
    </row>
    <row r="303" customFormat="false" ht="15" hidden="false" customHeight="false" outlineLevel="0" collapsed="false">
      <c r="A303" s="12" t="s">
        <v>848</v>
      </c>
      <c r="B303" s="12" t="s">
        <v>1432</v>
      </c>
      <c r="C303" s="12" t="s">
        <v>3463</v>
      </c>
    </row>
    <row r="304" customFormat="false" ht="15" hidden="false" customHeight="false" outlineLevel="0" collapsed="false">
      <c r="A304" s="12" t="s">
        <v>848</v>
      </c>
      <c r="B304" s="12" t="s">
        <v>2445</v>
      </c>
      <c r="C304" s="12" t="s">
        <v>3462</v>
      </c>
    </row>
    <row r="305" customFormat="false" ht="15" hidden="false" customHeight="false" outlineLevel="0" collapsed="false">
      <c r="A305" s="12" t="s">
        <v>853</v>
      </c>
      <c r="B305" s="12" t="s">
        <v>1390</v>
      </c>
      <c r="C305" s="12" t="s">
        <v>3461</v>
      </c>
    </row>
    <row r="306" customFormat="false" ht="15" hidden="false" customHeight="false" outlineLevel="0" collapsed="false">
      <c r="A306" s="12" t="s">
        <v>853</v>
      </c>
      <c r="B306" s="12" t="s">
        <v>2705</v>
      </c>
      <c r="C306" s="12" t="s">
        <v>3461</v>
      </c>
    </row>
    <row r="307" customFormat="false" ht="15" hidden="false" customHeight="false" outlineLevel="0" collapsed="false">
      <c r="A307" s="12" t="s">
        <v>853</v>
      </c>
      <c r="B307" s="12" t="s">
        <v>1470</v>
      </c>
      <c r="C307" s="12" t="s">
        <v>3461</v>
      </c>
    </row>
    <row r="308" customFormat="false" ht="15" hidden="false" customHeight="false" outlineLevel="0" collapsed="false">
      <c r="A308" s="12" t="s">
        <v>853</v>
      </c>
      <c r="B308" s="12" t="s">
        <v>1432</v>
      </c>
      <c r="C308" s="12" t="s">
        <v>3463</v>
      </c>
    </row>
    <row r="309" customFormat="false" ht="15" hidden="false" customHeight="false" outlineLevel="0" collapsed="false">
      <c r="A309" s="12" t="s">
        <v>853</v>
      </c>
      <c r="B309" s="12" t="s">
        <v>1822</v>
      </c>
      <c r="C309" s="12" t="s">
        <v>3463</v>
      </c>
    </row>
    <row r="310" customFormat="false" ht="15" hidden="false" customHeight="false" outlineLevel="0" collapsed="false">
      <c r="A310" s="12" t="s">
        <v>853</v>
      </c>
      <c r="B310" s="12" t="s">
        <v>2445</v>
      </c>
      <c r="C310" s="12" t="s">
        <v>3462</v>
      </c>
    </row>
    <row r="311" customFormat="false" ht="15" hidden="false" customHeight="false" outlineLevel="0" collapsed="false">
      <c r="A311" s="12" t="s">
        <v>853</v>
      </c>
      <c r="B311" s="12" t="s">
        <v>3159</v>
      </c>
      <c r="C311" s="12" t="s">
        <v>3462</v>
      </c>
    </row>
    <row r="312" customFormat="false" ht="15" hidden="false" customHeight="false" outlineLevel="0" collapsed="false">
      <c r="A312" s="12" t="s">
        <v>853</v>
      </c>
      <c r="B312" s="12" t="s">
        <v>3164</v>
      </c>
      <c r="C312" s="12" t="s">
        <v>3462</v>
      </c>
    </row>
    <row r="313" customFormat="false" ht="15" hidden="false" customHeight="false" outlineLevel="0" collapsed="false">
      <c r="A313" s="12" t="s">
        <v>853</v>
      </c>
      <c r="B313" s="12" t="s">
        <v>3167</v>
      </c>
      <c r="C313" s="12" t="s">
        <v>3462</v>
      </c>
    </row>
    <row r="314" customFormat="false" ht="15" hidden="false" customHeight="false" outlineLevel="0" collapsed="false">
      <c r="A314" s="12" t="s">
        <v>853</v>
      </c>
      <c r="B314" s="12" t="s">
        <v>3171</v>
      </c>
      <c r="C314" s="12" t="s">
        <v>3462</v>
      </c>
    </row>
    <row r="315" customFormat="false" ht="15" hidden="false" customHeight="false" outlineLevel="0" collapsed="false">
      <c r="A315" s="12" t="s">
        <v>853</v>
      </c>
      <c r="B315" s="12" t="s">
        <v>1867</v>
      </c>
      <c r="C315" s="12" t="s">
        <v>3462</v>
      </c>
    </row>
    <row r="316" customFormat="false" ht="15" hidden="false" customHeight="false" outlineLevel="0" collapsed="false">
      <c r="A316" s="12" t="s">
        <v>1346</v>
      </c>
      <c r="B316" s="12" t="s">
        <v>1390</v>
      </c>
      <c r="C316" s="12" t="s">
        <v>3461</v>
      </c>
    </row>
    <row r="317" customFormat="false" ht="15" hidden="false" customHeight="false" outlineLevel="0" collapsed="false">
      <c r="A317" s="12" t="s">
        <v>1346</v>
      </c>
      <c r="B317" s="12" t="s">
        <v>2705</v>
      </c>
      <c r="C317" s="12" t="s">
        <v>3461</v>
      </c>
    </row>
    <row r="318" customFormat="false" ht="15" hidden="false" customHeight="false" outlineLevel="0" collapsed="false">
      <c r="A318" s="12" t="s">
        <v>1346</v>
      </c>
      <c r="B318" s="12" t="s">
        <v>1432</v>
      </c>
      <c r="C318" s="12" t="s">
        <v>3463</v>
      </c>
    </row>
    <row r="319" customFormat="false" ht="15" hidden="false" customHeight="false" outlineLevel="0" collapsed="false">
      <c r="A319" s="12" t="s">
        <v>1346</v>
      </c>
      <c r="B319" s="12" t="s">
        <v>1822</v>
      </c>
      <c r="C319" s="12" t="s">
        <v>3463</v>
      </c>
    </row>
    <row r="320" customFormat="false" ht="15" hidden="false" customHeight="false" outlineLevel="0" collapsed="false">
      <c r="A320" s="12" t="s">
        <v>1346</v>
      </c>
      <c r="B320" s="12" t="s">
        <v>3159</v>
      </c>
      <c r="C320" s="12" t="s">
        <v>3462</v>
      </c>
    </row>
    <row r="321" customFormat="false" ht="15" hidden="false" customHeight="false" outlineLevel="0" collapsed="false">
      <c r="A321" s="12" t="s">
        <v>1346</v>
      </c>
      <c r="B321" s="12" t="s">
        <v>3176</v>
      </c>
      <c r="C321" s="12" t="s">
        <v>3462</v>
      </c>
    </row>
    <row r="322" customFormat="false" ht="15" hidden="false" customHeight="false" outlineLevel="0" collapsed="false">
      <c r="A322" s="12" t="s">
        <v>859</v>
      </c>
      <c r="B322" s="12" t="s">
        <v>1634</v>
      </c>
      <c r="C322" s="12" t="s">
        <v>3461</v>
      </c>
    </row>
    <row r="323" customFormat="false" ht="15" hidden="false" customHeight="false" outlineLevel="0" collapsed="false">
      <c r="A323" s="12" t="s">
        <v>859</v>
      </c>
      <c r="B323" s="12" t="s">
        <v>2494</v>
      </c>
      <c r="C323" s="12" t="s">
        <v>3461</v>
      </c>
    </row>
    <row r="324" customFormat="false" ht="15" hidden="false" customHeight="false" outlineLevel="0" collapsed="false">
      <c r="A324" s="12" t="s">
        <v>859</v>
      </c>
      <c r="B324" s="12" t="s">
        <v>1867</v>
      </c>
      <c r="C324" s="12" t="s">
        <v>3463</v>
      </c>
    </row>
    <row r="325" customFormat="false" ht="15" hidden="false" customHeight="false" outlineLevel="0" collapsed="false">
      <c r="A325" s="12" t="s">
        <v>859</v>
      </c>
      <c r="B325" s="12" t="s">
        <v>1870</v>
      </c>
      <c r="C325" s="12" t="s">
        <v>3463</v>
      </c>
    </row>
    <row r="326" customFormat="false" ht="15" hidden="false" customHeight="false" outlineLevel="0" collapsed="false">
      <c r="A326" s="12" t="s">
        <v>859</v>
      </c>
      <c r="B326" s="12" t="s">
        <v>3183</v>
      </c>
      <c r="C326" s="12" t="s">
        <v>3462</v>
      </c>
    </row>
    <row r="327" customFormat="false" ht="15" hidden="false" customHeight="false" outlineLevel="0" collapsed="false">
      <c r="A327" s="12" t="s">
        <v>859</v>
      </c>
      <c r="B327" s="12" t="s">
        <v>3188</v>
      </c>
      <c r="C327" s="12" t="s">
        <v>3462</v>
      </c>
    </row>
    <row r="328" customFormat="false" ht="15" hidden="false" customHeight="false" outlineLevel="0" collapsed="false">
      <c r="A328" s="12" t="s">
        <v>859</v>
      </c>
      <c r="B328" s="12" t="s">
        <v>3195</v>
      </c>
      <c r="C328" s="12" t="s">
        <v>3462</v>
      </c>
    </row>
    <row r="329" customFormat="false" ht="15" hidden="false" customHeight="false" outlineLevel="0" collapsed="false">
      <c r="A329" s="12" t="s">
        <v>868</v>
      </c>
      <c r="B329" s="12" t="s">
        <v>1634</v>
      </c>
      <c r="C329" s="12" t="s">
        <v>3461</v>
      </c>
    </row>
    <row r="330" customFormat="false" ht="15" hidden="false" customHeight="false" outlineLevel="0" collapsed="false">
      <c r="A330" s="12" t="s">
        <v>868</v>
      </c>
      <c r="B330" s="12" t="s">
        <v>1878</v>
      </c>
      <c r="C330" s="12" t="s">
        <v>3461</v>
      </c>
    </row>
    <row r="331" customFormat="false" ht="15" hidden="false" customHeight="false" outlineLevel="0" collapsed="false">
      <c r="A331" s="12" t="s">
        <v>868</v>
      </c>
      <c r="B331" s="12" t="s">
        <v>1882</v>
      </c>
      <c r="C331" s="12" t="s">
        <v>3463</v>
      </c>
    </row>
    <row r="332" customFormat="false" ht="15" hidden="false" customHeight="false" outlineLevel="0" collapsed="false">
      <c r="A332" s="12" t="s">
        <v>878</v>
      </c>
      <c r="B332" s="12" t="s">
        <v>1890</v>
      </c>
      <c r="C332" s="12" t="s">
        <v>3461</v>
      </c>
    </row>
    <row r="333" customFormat="false" ht="15" hidden="false" customHeight="false" outlineLevel="0" collapsed="false">
      <c r="A333" s="12" t="s">
        <v>878</v>
      </c>
      <c r="B333" s="12" t="s">
        <v>1887</v>
      </c>
      <c r="C333" s="12" t="s">
        <v>3463</v>
      </c>
    </row>
    <row r="334" customFormat="false" ht="15" hidden="false" customHeight="false" outlineLevel="0" collapsed="false">
      <c r="A334" s="12" t="s">
        <v>878</v>
      </c>
      <c r="B334" s="12" t="s">
        <v>1893</v>
      </c>
      <c r="C334" s="12" t="s">
        <v>3463</v>
      </c>
    </row>
    <row r="335" customFormat="false" ht="15" hidden="false" customHeight="false" outlineLevel="0" collapsed="false">
      <c r="A335" s="12" t="s">
        <v>890</v>
      </c>
      <c r="B335" s="12" t="s">
        <v>2507</v>
      </c>
      <c r="C335" s="12" t="s">
        <v>3461</v>
      </c>
    </row>
    <row r="336" customFormat="false" ht="15" hidden="false" customHeight="false" outlineLevel="0" collapsed="false">
      <c r="A336" s="12" t="s">
        <v>890</v>
      </c>
      <c r="B336" s="12" t="s">
        <v>1890</v>
      </c>
      <c r="C336" s="12" t="s">
        <v>3461</v>
      </c>
    </row>
    <row r="337" customFormat="false" ht="15" hidden="false" customHeight="false" outlineLevel="0" collapsed="false">
      <c r="A337" s="12" t="s">
        <v>890</v>
      </c>
      <c r="B337" s="12" t="s">
        <v>1896</v>
      </c>
      <c r="C337" s="12" t="s">
        <v>3463</v>
      </c>
    </row>
    <row r="338" customFormat="false" ht="15" hidden="false" customHeight="false" outlineLevel="0" collapsed="false">
      <c r="A338" s="12" t="s">
        <v>890</v>
      </c>
      <c r="B338" s="12" t="s">
        <v>1899</v>
      </c>
      <c r="C338" s="12" t="s">
        <v>3463</v>
      </c>
    </row>
    <row r="339" customFormat="false" ht="15" hidden="false" customHeight="false" outlineLevel="0" collapsed="false">
      <c r="A339" s="12" t="s">
        <v>890</v>
      </c>
      <c r="B339" s="12" t="s">
        <v>3210</v>
      </c>
      <c r="C339" s="12" t="s">
        <v>3462</v>
      </c>
    </row>
    <row r="340" customFormat="false" ht="15" hidden="false" customHeight="false" outlineLevel="0" collapsed="false">
      <c r="A340" s="12" t="s">
        <v>900</v>
      </c>
      <c r="B340" s="12" t="s">
        <v>1902</v>
      </c>
      <c r="C340" s="12" t="s">
        <v>3461</v>
      </c>
    </row>
    <row r="341" customFormat="false" ht="15" hidden="false" customHeight="false" outlineLevel="0" collapsed="false">
      <c r="A341" s="12" t="s">
        <v>900</v>
      </c>
      <c r="B341" s="12" t="s">
        <v>3213</v>
      </c>
      <c r="C341" s="12" t="s">
        <v>3462</v>
      </c>
    </row>
    <row r="342" customFormat="false" ht="15" hidden="false" customHeight="false" outlineLevel="0" collapsed="false">
      <c r="A342" s="12" t="s">
        <v>907</v>
      </c>
      <c r="B342" s="12" t="s">
        <v>1910</v>
      </c>
      <c r="C342" s="12" t="s">
        <v>3461</v>
      </c>
    </row>
    <row r="343" customFormat="false" ht="15" hidden="false" customHeight="false" outlineLevel="0" collapsed="false">
      <c r="A343" s="12" t="s">
        <v>907</v>
      </c>
      <c r="B343" s="12" t="s">
        <v>1907</v>
      </c>
      <c r="C343" s="12" t="s">
        <v>3463</v>
      </c>
    </row>
    <row r="344" customFormat="false" ht="15" hidden="false" customHeight="false" outlineLevel="0" collapsed="false">
      <c r="A344" s="12" t="s">
        <v>907</v>
      </c>
      <c r="B344" s="12" t="s">
        <v>3221</v>
      </c>
      <c r="C344" s="12" t="s">
        <v>3462</v>
      </c>
    </row>
    <row r="345" customFormat="false" ht="15" hidden="false" customHeight="false" outlineLevel="0" collapsed="false">
      <c r="A345" s="12" t="s">
        <v>907</v>
      </c>
      <c r="B345" s="12" t="s">
        <v>3225</v>
      </c>
      <c r="C345" s="12" t="s">
        <v>3462</v>
      </c>
    </row>
    <row r="346" customFormat="false" ht="15" hidden="false" customHeight="false" outlineLevel="0" collapsed="false">
      <c r="A346" s="12" t="s">
        <v>916</v>
      </c>
      <c r="B346" s="12" t="s">
        <v>1913</v>
      </c>
      <c r="C346" s="12" t="s">
        <v>3461</v>
      </c>
    </row>
    <row r="347" customFormat="false" ht="15" hidden="false" customHeight="false" outlineLevel="0" collapsed="false">
      <c r="A347" s="12" t="s">
        <v>930</v>
      </c>
      <c r="B347" s="12" t="s">
        <v>1399</v>
      </c>
      <c r="C347" s="12" t="s">
        <v>3461</v>
      </c>
    </row>
    <row r="348" customFormat="false" ht="15" hidden="false" customHeight="false" outlineLevel="0" collapsed="false">
      <c r="A348" s="12" t="s">
        <v>930</v>
      </c>
      <c r="B348" s="12" t="s">
        <v>3442</v>
      </c>
      <c r="C348" s="12" t="s">
        <v>3462</v>
      </c>
    </row>
    <row r="349" customFormat="false" ht="15" hidden="false" customHeight="false" outlineLevel="0" collapsed="false">
      <c r="A349" s="12" t="s">
        <v>930</v>
      </c>
      <c r="B349" s="12" t="s">
        <v>3445</v>
      </c>
      <c r="C349" s="12" t="s">
        <v>3462</v>
      </c>
    </row>
    <row r="350" customFormat="false" ht="15" hidden="false" customHeight="false" outlineLevel="0" collapsed="false">
      <c r="A350" s="12" t="s">
        <v>783</v>
      </c>
      <c r="B350" s="12" t="s">
        <v>1793</v>
      </c>
      <c r="C350" s="12" t="s">
        <v>3461</v>
      </c>
    </row>
    <row r="351" customFormat="false" ht="15" hidden="false" customHeight="false" outlineLevel="0" collapsed="false">
      <c r="A351" s="12" t="s">
        <v>783</v>
      </c>
      <c r="B351" s="12" t="s">
        <v>3436</v>
      </c>
      <c r="C351" s="12" t="s">
        <v>3462</v>
      </c>
    </row>
    <row r="352" customFormat="false" ht="15" hidden="false" customHeight="false" outlineLevel="0" collapsed="false">
      <c r="A352" s="12" t="s">
        <v>942</v>
      </c>
      <c r="B352" s="12" t="s">
        <v>1926</v>
      </c>
      <c r="C352" s="12" t="s">
        <v>3461</v>
      </c>
    </row>
    <row r="353" customFormat="false" ht="15" hidden="false" customHeight="false" outlineLevel="0" collapsed="false">
      <c r="A353" s="12" t="s">
        <v>942</v>
      </c>
      <c r="B353" s="12" t="s">
        <v>1931</v>
      </c>
      <c r="C353" s="12" t="s">
        <v>3461</v>
      </c>
    </row>
    <row r="354" customFormat="false" ht="15" hidden="false" customHeight="false" outlineLevel="0" collapsed="false">
      <c r="A354" s="12" t="s">
        <v>1317</v>
      </c>
      <c r="B354" s="12" t="s">
        <v>1940</v>
      </c>
      <c r="C354" s="12" t="s">
        <v>3461</v>
      </c>
    </row>
    <row r="355" customFormat="false" ht="15" hidden="false" customHeight="false" outlineLevel="0" collapsed="false">
      <c r="A355" s="12" t="s">
        <v>1317</v>
      </c>
      <c r="B355" s="12" t="s">
        <v>1937</v>
      </c>
      <c r="C355" s="12" t="s">
        <v>3461</v>
      </c>
    </row>
    <row r="356" customFormat="false" ht="15" hidden="false" customHeight="false" outlineLevel="0" collapsed="false">
      <c r="A356" s="12" t="s">
        <v>1317</v>
      </c>
      <c r="B356" s="12" t="s">
        <v>1934</v>
      </c>
      <c r="C356" s="12" t="s">
        <v>3461</v>
      </c>
    </row>
    <row r="357" customFormat="false" ht="15" hidden="false" customHeight="false" outlineLevel="0" collapsed="false">
      <c r="A357" s="12" t="s">
        <v>954</v>
      </c>
      <c r="B357" s="12" t="s">
        <v>1943</v>
      </c>
      <c r="C357" s="12" t="s">
        <v>3461</v>
      </c>
    </row>
    <row r="358" customFormat="false" ht="15" hidden="false" customHeight="false" outlineLevel="0" collapsed="false">
      <c r="A358" s="12" t="s">
        <v>954</v>
      </c>
      <c r="B358" s="12" t="s">
        <v>1934</v>
      </c>
      <c r="C358" s="12" t="s">
        <v>3461</v>
      </c>
    </row>
    <row r="359" customFormat="false" ht="15" hidden="false" customHeight="false" outlineLevel="0" collapsed="false">
      <c r="A359" s="12" t="s">
        <v>964</v>
      </c>
      <c r="B359" s="12" t="s">
        <v>1390</v>
      </c>
      <c r="C359" s="12" t="s">
        <v>3461</v>
      </c>
    </row>
    <row r="360" customFormat="false" ht="15" hidden="false" customHeight="false" outlineLevel="0" collapsed="false">
      <c r="A360" s="12" t="s">
        <v>964</v>
      </c>
      <c r="B360" s="12" t="s">
        <v>2702</v>
      </c>
      <c r="C360" s="12" t="s">
        <v>3461</v>
      </c>
    </row>
    <row r="361" customFormat="false" ht="15" hidden="false" customHeight="false" outlineLevel="0" collapsed="false">
      <c r="A361" s="12" t="s">
        <v>964</v>
      </c>
      <c r="B361" s="12" t="s">
        <v>1432</v>
      </c>
      <c r="C361" s="12" t="s">
        <v>3463</v>
      </c>
    </row>
    <row r="362" customFormat="false" ht="15" hidden="false" customHeight="false" outlineLevel="0" collapsed="false">
      <c r="A362" s="12" t="s">
        <v>964</v>
      </c>
      <c r="B362" s="12" t="s">
        <v>3449</v>
      </c>
      <c r="C362" s="12" t="s">
        <v>3462</v>
      </c>
    </row>
    <row r="363" customFormat="false" ht="15" hidden="false" customHeight="false" outlineLevel="0" collapsed="false">
      <c r="A363" s="12" t="s">
        <v>969</v>
      </c>
      <c r="B363" s="12" t="s">
        <v>1390</v>
      </c>
      <c r="C363" s="12" t="s">
        <v>3461</v>
      </c>
    </row>
    <row r="364" customFormat="false" ht="15" hidden="false" customHeight="false" outlineLevel="0" collapsed="false">
      <c r="A364" s="12" t="s">
        <v>969</v>
      </c>
      <c r="B364" s="12" t="s">
        <v>2702</v>
      </c>
      <c r="C364" s="12" t="s">
        <v>3461</v>
      </c>
    </row>
    <row r="365" customFormat="false" ht="15" hidden="false" customHeight="false" outlineLevel="0" collapsed="false">
      <c r="A365" s="12" t="s">
        <v>969</v>
      </c>
      <c r="B365" s="12" t="s">
        <v>1432</v>
      </c>
      <c r="C365" s="12" t="s">
        <v>3463</v>
      </c>
    </row>
    <row r="366" customFormat="false" ht="15" hidden="false" customHeight="false" outlineLevel="0" collapsed="false">
      <c r="A366" s="12" t="s">
        <v>969</v>
      </c>
      <c r="B366" s="12" t="s">
        <v>1954</v>
      </c>
      <c r="C366" s="12" t="s">
        <v>3463</v>
      </c>
    </row>
    <row r="367" customFormat="false" ht="15" hidden="false" customHeight="false" outlineLevel="0" collapsed="false">
      <c r="A367" s="12" t="s">
        <v>969</v>
      </c>
      <c r="B367" s="12" t="s">
        <v>1957</v>
      </c>
      <c r="C367" s="12" t="s">
        <v>3463</v>
      </c>
    </row>
    <row r="368" customFormat="false" ht="15" hidden="false" customHeight="false" outlineLevel="0" collapsed="false">
      <c r="A368" s="12" t="s">
        <v>969</v>
      </c>
      <c r="B368" s="12" t="s">
        <v>1964</v>
      </c>
      <c r="C368" s="12" t="s">
        <v>3462</v>
      </c>
    </row>
    <row r="369" customFormat="false" ht="15" hidden="false" customHeight="false" outlineLevel="0" collapsed="false">
      <c r="A369" s="12" t="s">
        <v>974</v>
      </c>
      <c r="B369" s="12" t="s">
        <v>1390</v>
      </c>
      <c r="C369" s="12" t="s">
        <v>3461</v>
      </c>
    </row>
    <row r="370" customFormat="false" ht="15" hidden="false" customHeight="false" outlineLevel="0" collapsed="false">
      <c r="A370" s="12" t="s">
        <v>974</v>
      </c>
      <c r="B370" s="12" t="s">
        <v>1432</v>
      </c>
      <c r="C370" s="12" t="s">
        <v>3463</v>
      </c>
    </row>
    <row r="371" customFormat="false" ht="15" hidden="false" customHeight="false" outlineLevel="0" collapsed="false">
      <c r="A371" s="12" t="s">
        <v>974</v>
      </c>
      <c r="B371" s="12" t="s">
        <v>1964</v>
      </c>
      <c r="C371" s="12" t="s">
        <v>3463</v>
      </c>
    </row>
    <row r="372" customFormat="false" ht="15" hidden="false" customHeight="false" outlineLevel="0" collapsed="false">
      <c r="A372" s="12" t="s">
        <v>974</v>
      </c>
      <c r="B372" s="12" t="s">
        <v>3235</v>
      </c>
      <c r="C372" s="12" t="s">
        <v>3462</v>
      </c>
    </row>
    <row r="373" customFormat="false" ht="15" hidden="false" customHeight="false" outlineLevel="0" collapsed="false">
      <c r="A373" s="12" t="s">
        <v>1351</v>
      </c>
      <c r="B373" s="12" t="s">
        <v>2411</v>
      </c>
      <c r="C373" s="12" t="s">
        <v>3461</v>
      </c>
    </row>
    <row r="374" customFormat="false" ht="15" hidden="false" customHeight="false" outlineLevel="0" collapsed="false">
      <c r="A374" s="12" t="s">
        <v>1351</v>
      </c>
      <c r="B374" s="12" t="s">
        <v>2416</v>
      </c>
      <c r="C374" s="12" t="s">
        <v>3461</v>
      </c>
    </row>
    <row r="375" customFormat="false" ht="15" hidden="false" customHeight="false" outlineLevel="0" collapsed="false">
      <c r="A375" s="12" t="s">
        <v>1351</v>
      </c>
      <c r="B375" s="12" t="s">
        <v>1971</v>
      </c>
      <c r="C375" s="12" t="s">
        <v>3463</v>
      </c>
    </row>
    <row r="376" customFormat="false" ht="15" hidden="false" customHeight="false" outlineLevel="0" collapsed="false">
      <c r="A376" s="12" t="s">
        <v>1351</v>
      </c>
      <c r="B376" s="12" t="s">
        <v>1974</v>
      </c>
      <c r="C376" s="12" t="s">
        <v>3463</v>
      </c>
    </row>
    <row r="377" customFormat="false" ht="15" hidden="false" customHeight="false" outlineLevel="0" collapsed="false">
      <c r="A377" s="12" t="s">
        <v>981</v>
      </c>
      <c r="B377" s="12" t="s">
        <v>1634</v>
      </c>
      <c r="C377" s="12" t="s">
        <v>3461</v>
      </c>
    </row>
    <row r="378" customFormat="false" ht="15" hidden="false" customHeight="false" outlineLevel="0" collapsed="false">
      <c r="A378" s="12" t="s">
        <v>981</v>
      </c>
      <c r="B378" s="12" t="s">
        <v>1977</v>
      </c>
      <c r="C378" s="12" t="s">
        <v>3461</v>
      </c>
    </row>
    <row r="379" customFormat="false" ht="15" hidden="false" customHeight="false" outlineLevel="0" collapsed="false">
      <c r="A379" s="12" t="s">
        <v>981</v>
      </c>
      <c r="B379" s="12" t="s">
        <v>2654</v>
      </c>
      <c r="C379" s="12" t="s">
        <v>3461</v>
      </c>
    </row>
    <row r="380" customFormat="false" ht="15" hidden="false" customHeight="false" outlineLevel="0" collapsed="false">
      <c r="A380" s="12" t="s">
        <v>981</v>
      </c>
      <c r="B380" s="12" t="s">
        <v>1980</v>
      </c>
      <c r="C380" s="12" t="s">
        <v>3463</v>
      </c>
    </row>
    <row r="381" customFormat="false" ht="15" hidden="false" customHeight="false" outlineLevel="0" collapsed="false">
      <c r="A381" s="12" t="s">
        <v>981</v>
      </c>
      <c r="B381" s="12" t="s">
        <v>2265</v>
      </c>
      <c r="C381" s="12" t="s">
        <v>3464</v>
      </c>
    </row>
    <row r="382" customFormat="false" ht="15" hidden="false" customHeight="false" outlineLevel="0" collapsed="false">
      <c r="A382" s="12" t="s">
        <v>981</v>
      </c>
      <c r="B382" s="12" t="s">
        <v>3250</v>
      </c>
      <c r="C382" s="12" t="s">
        <v>3462</v>
      </c>
    </row>
    <row r="383" customFormat="false" ht="15" hidden="false" customHeight="false" outlineLevel="0" collapsed="false">
      <c r="A383" s="12" t="s">
        <v>993</v>
      </c>
      <c r="B383" s="12" t="s">
        <v>1634</v>
      </c>
      <c r="C383" s="12" t="s">
        <v>3461</v>
      </c>
    </row>
    <row r="384" customFormat="false" ht="15" hidden="false" customHeight="false" outlineLevel="0" collapsed="false">
      <c r="A384" s="12" t="s">
        <v>993</v>
      </c>
      <c r="B384" s="12" t="s">
        <v>1983</v>
      </c>
      <c r="C384" s="12" t="s">
        <v>3461</v>
      </c>
    </row>
    <row r="385" customFormat="false" ht="15" hidden="false" customHeight="false" outlineLevel="0" collapsed="false">
      <c r="A385" s="12" t="s">
        <v>993</v>
      </c>
      <c r="B385" s="12" t="s">
        <v>2659</v>
      </c>
      <c r="C385" s="12" t="s">
        <v>3461</v>
      </c>
    </row>
    <row r="386" customFormat="false" ht="15" hidden="false" customHeight="false" outlineLevel="0" collapsed="false">
      <c r="A386" s="12" t="s">
        <v>993</v>
      </c>
      <c r="B386" s="12" t="s">
        <v>1986</v>
      </c>
      <c r="C386" s="12" t="s">
        <v>3463</v>
      </c>
    </row>
    <row r="387" customFormat="false" ht="15" hidden="false" customHeight="false" outlineLevel="0" collapsed="false">
      <c r="A387" s="12" t="s">
        <v>993</v>
      </c>
      <c r="B387" s="12" t="s">
        <v>2269</v>
      </c>
      <c r="C387" s="12" t="s">
        <v>3464</v>
      </c>
    </row>
    <row r="388" customFormat="false" ht="15" hidden="false" customHeight="false" outlineLevel="0" collapsed="false">
      <c r="A388" s="12" t="s">
        <v>993</v>
      </c>
      <c r="B388" s="12" t="s">
        <v>3255</v>
      </c>
      <c r="C388" s="12" t="s">
        <v>3462</v>
      </c>
    </row>
    <row r="389" customFormat="false" ht="15" hidden="false" customHeight="false" outlineLevel="0" collapsed="false">
      <c r="A389" s="12" t="s">
        <v>993</v>
      </c>
      <c r="B389" s="12" t="s">
        <v>3259</v>
      </c>
      <c r="C389" s="12" t="s">
        <v>3462</v>
      </c>
    </row>
    <row r="390" customFormat="false" ht="15" hidden="false" customHeight="false" outlineLevel="0" collapsed="false">
      <c r="A390" s="12" t="s">
        <v>1327</v>
      </c>
      <c r="B390" s="12" t="s">
        <v>1634</v>
      </c>
      <c r="C390" s="12" t="s">
        <v>3461</v>
      </c>
    </row>
    <row r="391" customFormat="false" ht="15" hidden="false" customHeight="false" outlineLevel="0" collapsed="false">
      <c r="A391" s="12" t="s">
        <v>1327</v>
      </c>
      <c r="B391" s="12" t="s">
        <v>2696</v>
      </c>
      <c r="C391" s="12" t="s">
        <v>3461</v>
      </c>
    </row>
    <row r="392" customFormat="false" ht="15" hidden="false" customHeight="false" outlineLevel="0" collapsed="false">
      <c r="A392" s="12" t="s">
        <v>1327</v>
      </c>
      <c r="B392" s="12" t="s">
        <v>1989</v>
      </c>
      <c r="C392" s="12" t="s">
        <v>3463</v>
      </c>
    </row>
    <row r="393" customFormat="false" ht="15" hidden="false" customHeight="false" outlineLevel="0" collapsed="false">
      <c r="A393" s="12" t="s">
        <v>1004</v>
      </c>
      <c r="B393" s="12" t="s">
        <v>1996</v>
      </c>
      <c r="C393" s="12" t="s">
        <v>3461</v>
      </c>
    </row>
    <row r="394" customFormat="false" ht="15" hidden="false" customHeight="false" outlineLevel="0" collapsed="false">
      <c r="A394" s="12" t="s">
        <v>1018</v>
      </c>
      <c r="B394" s="12" t="s">
        <v>1390</v>
      </c>
      <c r="C394" s="12" t="s">
        <v>3461</v>
      </c>
    </row>
    <row r="395" customFormat="false" ht="15" hidden="false" customHeight="false" outlineLevel="0" collapsed="false">
      <c r="A395" s="12" t="s">
        <v>1018</v>
      </c>
      <c r="B395" s="12" t="s">
        <v>1427</v>
      </c>
      <c r="C395" s="12" t="s">
        <v>3461</v>
      </c>
    </row>
    <row r="396" customFormat="false" ht="15" hidden="false" customHeight="false" outlineLevel="0" collapsed="false">
      <c r="A396" s="12" t="s">
        <v>1018</v>
      </c>
      <c r="B396" s="12" t="s">
        <v>1432</v>
      </c>
      <c r="C396" s="12" t="s">
        <v>3463</v>
      </c>
    </row>
    <row r="397" customFormat="false" ht="15" hidden="false" customHeight="false" outlineLevel="0" collapsed="false">
      <c r="A397" s="12" t="s">
        <v>1018</v>
      </c>
      <c r="B397" s="12" t="s">
        <v>1964</v>
      </c>
      <c r="C397" s="12" t="s">
        <v>3463</v>
      </c>
    </row>
    <row r="398" customFormat="false" ht="15" hidden="false" customHeight="false" outlineLevel="0" collapsed="false">
      <c r="A398" s="12" t="s">
        <v>1018</v>
      </c>
      <c r="B398" s="12" t="s">
        <v>3235</v>
      </c>
      <c r="C398" s="12" t="s">
        <v>3462</v>
      </c>
    </row>
    <row r="399" customFormat="false" ht="15" hidden="false" customHeight="false" outlineLevel="0" collapsed="false">
      <c r="A399" s="12" t="s">
        <v>1024</v>
      </c>
      <c r="B399" s="12" t="s">
        <v>2007</v>
      </c>
      <c r="C399" s="12" t="s">
        <v>3461</v>
      </c>
    </row>
    <row r="400" customFormat="false" ht="15" hidden="false" customHeight="false" outlineLevel="0" collapsed="false">
      <c r="A400" s="12" t="s">
        <v>1036</v>
      </c>
      <c r="B400" s="12" t="s">
        <v>2012</v>
      </c>
      <c r="C400" s="12" t="s">
        <v>3461</v>
      </c>
    </row>
    <row r="401" customFormat="false" ht="15" hidden="false" customHeight="false" outlineLevel="0" collapsed="false">
      <c r="A401" s="12" t="s">
        <v>1036</v>
      </c>
      <c r="B401" s="12" t="s">
        <v>1427</v>
      </c>
      <c r="C401" s="12" t="s">
        <v>3463</v>
      </c>
    </row>
    <row r="402" customFormat="false" ht="15" hidden="false" customHeight="false" outlineLevel="0" collapsed="false">
      <c r="A402" s="12" t="s">
        <v>1048</v>
      </c>
      <c r="B402" s="12" t="s">
        <v>2017</v>
      </c>
      <c r="C402" s="12" t="s">
        <v>3461</v>
      </c>
    </row>
    <row r="403" customFormat="false" ht="15" hidden="false" customHeight="false" outlineLevel="0" collapsed="false">
      <c r="A403" s="12" t="s">
        <v>1056</v>
      </c>
      <c r="B403" s="12" t="s">
        <v>2022</v>
      </c>
      <c r="C403" s="12" t="s">
        <v>3461</v>
      </c>
    </row>
    <row r="404" customFormat="false" ht="15" hidden="false" customHeight="false" outlineLevel="0" collapsed="false">
      <c r="A404" s="12" t="s">
        <v>1063</v>
      </c>
      <c r="B404" s="12" t="s">
        <v>2027</v>
      </c>
      <c r="C404" s="12" t="s">
        <v>3461</v>
      </c>
    </row>
    <row r="405" customFormat="false" ht="15" hidden="false" customHeight="false" outlineLevel="0" collapsed="false">
      <c r="A405" s="12" t="s">
        <v>1076</v>
      </c>
      <c r="B405" s="12" t="s">
        <v>2032</v>
      </c>
      <c r="C405" s="12" t="s">
        <v>3461</v>
      </c>
    </row>
    <row r="406" customFormat="false" ht="15" hidden="false" customHeight="false" outlineLevel="0" collapsed="false">
      <c r="A406" s="12" t="s">
        <v>1076</v>
      </c>
      <c r="B406" s="12" t="s">
        <v>1427</v>
      </c>
      <c r="C406" s="12" t="s">
        <v>3461</v>
      </c>
    </row>
    <row r="407" customFormat="false" ht="15" hidden="false" customHeight="false" outlineLevel="0" collapsed="false">
      <c r="A407" s="12" t="s">
        <v>1087</v>
      </c>
      <c r="B407" s="12" t="s">
        <v>2037</v>
      </c>
      <c r="C407" s="12" t="s">
        <v>3461</v>
      </c>
    </row>
    <row r="408" customFormat="false" ht="15" hidden="false" customHeight="false" outlineLevel="0" collapsed="false">
      <c r="A408" s="12" t="s">
        <v>1098</v>
      </c>
      <c r="B408" s="12" t="s">
        <v>1634</v>
      </c>
      <c r="C408" s="12" t="s">
        <v>3461</v>
      </c>
    </row>
    <row r="409" customFormat="false" ht="15" hidden="false" customHeight="false" outlineLevel="0" collapsed="false">
      <c r="A409" s="12" t="s">
        <v>1098</v>
      </c>
      <c r="B409" s="12" t="s">
        <v>2045</v>
      </c>
      <c r="C409" s="12" t="s">
        <v>3461</v>
      </c>
    </row>
    <row r="410" customFormat="false" ht="15" hidden="false" customHeight="false" outlineLevel="0" collapsed="false">
      <c r="A410" s="12" t="s">
        <v>1098</v>
      </c>
      <c r="B410" s="12" t="s">
        <v>2042</v>
      </c>
      <c r="C410" s="12" t="s">
        <v>3461</v>
      </c>
    </row>
    <row r="411" customFormat="false" ht="15" hidden="false" customHeight="false" outlineLevel="0" collapsed="false">
      <c r="A411" s="12" t="s">
        <v>1098</v>
      </c>
      <c r="B411" s="12" t="s">
        <v>2422</v>
      </c>
      <c r="C411" s="12" t="s">
        <v>3461</v>
      </c>
    </row>
    <row r="412" customFormat="false" ht="15" hidden="false" customHeight="false" outlineLevel="0" collapsed="false">
      <c r="A412" s="12" t="s">
        <v>1098</v>
      </c>
      <c r="B412" s="12" t="s">
        <v>2048</v>
      </c>
      <c r="C412" s="12" t="s">
        <v>3463</v>
      </c>
    </row>
    <row r="413" customFormat="false" ht="15" hidden="false" customHeight="false" outlineLevel="0" collapsed="false">
      <c r="A413" s="12" t="s">
        <v>1098</v>
      </c>
      <c r="B413" s="12" t="s">
        <v>3270</v>
      </c>
      <c r="C413" s="12" t="s">
        <v>3462</v>
      </c>
    </row>
    <row r="414" customFormat="false" ht="15" hidden="false" customHeight="false" outlineLevel="0" collapsed="false">
      <c r="A414" s="12" t="s">
        <v>1098</v>
      </c>
      <c r="B414" s="12" t="s">
        <v>3273</v>
      </c>
      <c r="C414" s="12" t="s">
        <v>3462</v>
      </c>
    </row>
    <row r="415" customFormat="false" ht="15" hidden="false" customHeight="false" outlineLevel="0" collapsed="false">
      <c r="A415" s="12" t="s">
        <v>1111</v>
      </c>
      <c r="B415" s="12" t="s">
        <v>2056</v>
      </c>
      <c r="C415" s="12" t="s">
        <v>3461</v>
      </c>
    </row>
    <row r="416" customFormat="false" ht="15" hidden="false" customHeight="false" outlineLevel="0" collapsed="false">
      <c r="A416" s="12" t="s">
        <v>1111</v>
      </c>
      <c r="B416" s="12" t="s">
        <v>2059</v>
      </c>
      <c r="C416" s="12" t="s">
        <v>3463</v>
      </c>
    </row>
    <row r="417" customFormat="false" ht="15" hidden="false" customHeight="false" outlineLevel="0" collapsed="false">
      <c r="A417" s="12" t="s">
        <v>1111</v>
      </c>
      <c r="B417" s="12" t="s">
        <v>2053</v>
      </c>
      <c r="C417" s="12" t="s">
        <v>3463</v>
      </c>
    </row>
    <row r="418" customFormat="false" ht="15" hidden="false" customHeight="false" outlineLevel="0" collapsed="false">
      <c r="A418" s="12" t="s">
        <v>1111</v>
      </c>
      <c r="B418" s="12" t="s">
        <v>3277</v>
      </c>
      <c r="C418" s="12" t="s">
        <v>3462</v>
      </c>
    </row>
    <row r="419" customFormat="false" ht="15" hidden="false" customHeight="false" outlineLevel="0" collapsed="false">
      <c r="A419" s="12" t="s">
        <v>1111</v>
      </c>
      <c r="B419" s="12" t="s">
        <v>3281</v>
      </c>
      <c r="C419" s="12" t="s">
        <v>3462</v>
      </c>
    </row>
    <row r="420" customFormat="false" ht="15" hidden="false" customHeight="false" outlineLevel="0" collapsed="false">
      <c r="A420" s="12" t="s">
        <v>1120</v>
      </c>
      <c r="B420" s="12" t="s">
        <v>2556</v>
      </c>
      <c r="C420" s="12" t="s">
        <v>3461</v>
      </c>
    </row>
    <row r="421" customFormat="false" ht="15" hidden="false" customHeight="false" outlineLevel="0" collapsed="false">
      <c r="A421" s="12" t="s">
        <v>1120</v>
      </c>
      <c r="B421" s="12" t="s">
        <v>2059</v>
      </c>
      <c r="C421" s="12" t="s">
        <v>3463</v>
      </c>
    </row>
    <row r="422" customFormat="false" ht="15" hidden="false" customHeight="false" outlineLevel="0" collapsed="false">
      <c r="A422" s="12" t="s">
        <v>1120</v>
      </c>
      <c r="B422" s="12" t="s">
        <v>2053</v>
      </c>
      <c r="C422" s="12" t="s">
        <v>3463</v>
      </c>
    </row>
    <row r="423" customFormat="false" ht="15" hidden="false" customHeight="false" outlineLevel="0" collapsed="false">
      <c r="A423" s="12" t="s">
        <v>1120</v>
      </c>
      <c r="B423" s="12" t="s">
        <v>3291</v>
      </c>
      <c r="C423" s="12" t="s">
        <v>3462</v>
      </c>
    </row>
    <row r="424" customFormat="false" ht="15" hidden="false" customHeight="false" outlineLevel="0" collapsed="false">
      <c r="A424" s="12" t="s">
        <v>1126</v>
      </c>
      <c r="B424" s="12" t="s">
        <v>2090</v>
      </c>
      <c r="C424" s="12" t="s">
        <v>3461</v>
      </c>
    </row>
    <row r="425" customFormat="false" ht="15" hidden="false" customHeight="false" outlineLevel="0" collapsed="false">
      <c r="A425" s="12" t="s">
        <v>1126</v>
      </c>
      <c r="B425" s="12" t="s">
        <v>2069</v>
      </c>
      <c r="C425" s="12" t="s">
        <v>3461</v>
      </c>
    </row>
    <row r="426" customFormat="false" ht="15" hidden="false" customHeight="false" outlineLevel="0" collapsed="false">
      <c r="A426" s="12" t="s">
        <v>1126</v>
      </c>
      <c r="B426" s="12" t="s">
        <v>2066</v>
      </c>
      <c r="C426" s="12" t="s">
        <v>3463</v>
      </c>
    </row>
    <row r="427" customFormat="false" ht="15" hidden="false" customHeight="false" outlineLevel="0" collapsed="false">
      <c r="A427" s="12" t="s">
        <v>1126</v>
      </c>
      <c r="B427" s="12" t="s">
        <v>2072</v>
      </c>
      <c r="C427" s="12" t="s">
        <v>3463</v>
      </c>
    </row>
    <row r="428" customFormat="false" ht="15" hidden="false" customHeight="false" outlineLevel="0" collapsed="false">
      <c r="A428" s="12" t="s">
        <v>1126</v>
      </c>
      <c r="B428" s="12" t="s">
        <v>3299</v>
      </c>
      <c r="C428" s="12" t="s">
        <v>3462</v>
      </c>
    </row>
    <row r="429" customFormat="false" ht="15" hidden="false" customHeight="false" outlineLevel="0" collapsed="false">
      <c r="A429" s="12" t="s">
        <v>1126</v>
      </c>
      <c r="B429" s="12" t="s">
        <v>2081</v>
      </c>
      <c r="C429" s="12" t="s">
        <v>3462</v>
      </c>
    </row>
    <row r="430" customFormat="false" ht="15" hidden="false" customHeight="false" outlineLevel="0" collapsed="false">
      <c r="A430" s="12" t="s">
        <v>1137</v>
      </c>
      <c r="B430" s="12" t="s">
        <v>2566</v>
      </c>
      <c r="C430" s="12" t="s">
        <v>3461</v>
      </c>
    </row>
    <row r="431" customFormat="false" ht="15" hidden="false" customHeight="false" outlineLevel="0" collapsed="false">
      <c r="A431" s="12" t="s">
        <v>1137</v>
      </c>
      <c r="B431" s="12" t="s">
        <v>2081</v>
      </c>
      <c r="C431" s="12" t="s">
        <v>3463</v>
      </c>
    </row>
    <row r="432" customFormat="false" ht="15" hidden="false" customHeight="false" outlineLevel="0" collapsed="false">
      <c r="A432" s="12" t="s">
        <v>1137</v>
      </c>
      <c r="B432" s="12" t="s">
        <v>2075</v>
      </c>
      <c r="C432" s="12" t="s">
        <v>3463</v>
      </c>
    </row>
    <row r="433" customFormat="false" ht="15" hidden="false" customHeight="false" outlineLevel="0" collapsed="false">
      <c r="A433" s="12" t="s">
        <v>1137</v>
      </c>
      <c r="B433" s="12" t="s">
        <v>2078</v>
      </c>
      <c r="C433" s="12" t="s">
        <v>3463</v>
      </c>
    </row>
    <row r="434" customFormat="false" ht="15" hidden="false" customHeight="false" outlineLevel="0" collapsed="false">
      <c r="A434" s="12" t="s">
        <v>1137</v>
      </c>
      <c r="B434" s="12" t="s">
        <v>3311</v>
      </c>
      <c r="C434" s="12" t="s">
        <v>3462</v>
      </c>
    </row>
    <row r="435" customFormat="false" ht="15" hidden="false" customHeight="false" outlineLevel="0" collapsed="false">
      <c r="A435" s="12" t="s">
        <v>1137</v>
      </c>
      <c r="B435" s="12" t="s">
        <v>3319</v>
      </c>
      <c r="C435" s="12" t="s">
        <v>3462</v>
      </c>
    </row>
    <row r="436" customFormat="false" ht="15" hidden="false" customHeight="false" outlineLevel="0" collapsed="false">
      <c r="A436" s="12" t="s">
        <v>1147</v>
      </c>
      <c r="B436" s="12" t="s">
        <v>2645</v>
      </c>
      <c r="C436" s="12" t="s">
        <v>3461</v>
      </c>
    </row>
    <row r="437" customFormat="false" ht="15" hidden="false" customHeight="false" outlineLevel="0" collapsed="false">
      <c r="A437" s="12" t="s">
        <v>1147</v>
      </c>
      <c r="B437" s="12" t="s">
        <v>2090</v>
      </c>
      <c r="C437" s="12" t="s">
        <v>3461</v>
      </c>
    </row>
    <row r="438" customFormat="false" ht="15" hidden="false" customHeight="false" outlineLevel="0" collapsed="false">
      <c r="A438" s="12" t="s">
        <v>1147</v>
      </c>
      <c r="B438" s="12" t="s">
        <v>2084</v>
      </c>
      <c r="C438" s="12" t="s">
        <v>3463</v>
      </c>
    </row>
    <row r="439" customFormat="false" ht="15" hidden="false" customHeight="false" outlineLevel="0" collapsed="false">
      <c r="A439" s="12" t="s">
        <v>1147</v>
      </c>
      <c r="B439" s="12" t="s">
        <v>2087</v>
      </c>
      <c r="C439" s="12" t="s">
        <v>3463</v>
      </c>
    </row>
    <row r="440" customFormat="false" ht="15" hidden="false" customHeight="false" outlineLevel="0" collapsed="false">
      <c r="A440" s="12" t="s">
        <v>1147</v>
      </c>
      <c r="B440" s="12" t="s">
        <v>3453</v>
      </c>
      <c r="C440" s="12" t="s">
        <v>3462</v>
      </c>
    </row>
    <row r="441" customFormat="false" ht="15" hidden="false" customHeight="false" outlineLevel="0" collapsed="false">
      <c r="A441" s="12" t="s">
        <v>1156</v>
      </c>
      <c r="B441" s="12" t="s">
        <v>2647</v>
      </c>
      <c r="C441" s="12" t="s">
        <v>3461</v>
      </c>
    </row>
    <row r="442" customFormat="false" ht="15" hidden="false" customHeight="false" outlineLevel="0" collapsed="false">
      <c r="A442" s="12" t="s">
        <v>1156</v>
      </c>
      <c r="B442" s="12" t="s">
        <v>2090</v>
      </c>
      <c r="C442" s="12" t="s">
        <v>3463</v>
      </c>
    </row>
    <row r="443" customFormat="false" ht="15" hidden="false" customHeight="false" outlineLevel="0" collapsed="false">
      <c r="A443" s="12" t="s">
        <v>1165</v>
      </c>
      <c r="B443" s="12" t="s">
        <v>2097</v>
      </c>
      <c r="C443" s="12" t="s">
        <v>3461</v>
      </c>
    </row>
    <row r="444" customFormat="false" ht="15" hidden="false" customHeight="false" outlineLevel="0" collapsed="false">
      <c r="A444" s="12" t="s">
        <v>1165</v>
      </c>
      <c r="B444" s="12" t="s">
        <v>2090</v>
      </c>
      <c r="C444" s="12" t="s">
        <v>3462</v>
      </c>
    </row>
    <row r="445" customFormat="false" ht="15" hidden="false" customHeight="false" outlineLevel="0" collapsed="false">
      <c r="A445" s="12" t="s">
        <v>1172</v>
      </c>
      <c r="B445" s="12" t="s">
        <v>2102</v>
      </c>
      <c r="C445" s="12" t="s">
        <v>3461</v>
      </c>
    </row>
    <row r="446" customFormat="false" ht="15" hidden="false" customHeight="false" outlineLevel="0" collapsed="false">
      <c r="A446" s="12" t="s">
        <v>1172</v>
      </c>
      <c r="B446" s="12" t="s">
        <v>1427</v>
      </c>
      <c r="C446" s="12" t="s">
        <v>3463</v>
      </c>
    </row>
    <row r="447" customFormat="false" ht="15" hidden="false" customHeight="false" outlineLevel="0" collapsed="false">
      <c r="A447" s="12" t="s">
        <v>1182</v>
      </c>
      <c r="B447" s="12" t="s">
        <v>2107</v>
      </c>
      <c r="C447" s="12" t="s">
        <v>3461</v>
      </c>
    </row>
    <row r="448" customFormat="false" ht="15" hidden="false" customHeight="false" outlineLevel="0" collapsed="false">
      <c r="A448" s="12" t="s">
        <v>1182</v>
      </c>
      <c r="B448" s="12" t="s">
        <v>1427</v>
      </c>
      <c r="C448" s="12" t="s">
        <v>3461</v>
      </c>
    </row>
    <row r="449" customFormat="false" ht="15" hidden="false" customHeight="false" outlineLevel="0" collapsed="false">
      <c r="A449" s="12" t="s">
        <v>1338</v>
      </c>
      <c r="B449" s="12" t="s">
        <v>2112</v>
      </c>
      <c r="C449" s="12" t="s">
        <v>3461</v>
      </c>
    </row>
    <row r="450" customFormat="false" ht="15" hidden="false" customHeight="false" outlineLevel="0" collapsed="false">
      <c r="A450" s="12" t="s">
        <v>1338</v>
      </c>
      <c r="B450" s="12" t="s">
        <v>2118</v>
      </c>
      <c r="C450" s="12" t="s">
        <v>3461</v>
      </c>
    </row>
    <row r="451" customFormat="false" ht="15" hidden="false" customHeight="false" outlineLevel="0" collapsed="false">
      <c r="A451" s="12" t="s">
        <v>1338</v>
      </c>
      <c r="B451" s="12" t="s">
        <v>2115</v>
      </c>
      <c r="C451" s="12" t="s">
        <v>3463</v>
      </c>
    </row>
    <row r="452" customFormat="false" ht="15" hidden="false" customHeight="false" outlineLevel="0" collapsed="false">
      <c r="A452" s="12" t="s">
        <v>1338</v>
      </c>
      <c r="B452" s="12" t="s">
        <v>3333</v>
      </c>
      <c r="C452" s="12" t="s">
        <v>3462</v>
      </c>
    </row>
    <row r="453" customFormat="false" ht="15" hidden="false" customHeight="false" outlineLevel="0" collapsed="false">
      <c r="A453" s="12" t="s">
        <v>1193</v>
      </c>
      <c r="B453" s="12" t="s">
        <v>2121</v>
      </c>
      <c r="C453" s="12" t="s">
        <v>3461</v>
      </c>
    </row>
    <row r="454" customFormat="false" ht="15" hidden="false" customHeight="false" outlineLevel="0" collapsed="false">
      <c r="A454" s="12" t="s">
        <v>1193</v>
      </c>
      <c r="B454" s="12" t="s">
        <v>1427</v>
      </c>
      <c r="C454" s="12" t="s">
        <v>3461</v>
      </c>
    </row>
    <row r="455" customFormat="false" ht="15" hidden="false" customHeight="false" outlineLevel="0" collapsed="false">
      <c r="A455" s="12" t="s">
        <v>1206</v>
      </c>
      <c r="B455" s="12" t="s">
        <v>2128</v>
      </c>
      <c r="C455" s="12" t="s">
        <v>3461</v>
      </c>
    </row>
    <row r="456" customFormat="false" ht="15" hidden="false" customHeight="false" outlineLevel="0" collapsed="false">
      <c r="A456" s="12" t="s">
        <v>1206</v>
      </c>
      <c r="B456" s="12" t="s">
        <v>2133</v>
      </c>
      <c r="C456" s="12" t="s">
        <v>3463</v>
      </c>
    </row>
    <row r="457" customFormat="false" ht="15" hidden="false" customHeight="false" outlineLevel="0" collapsed="false">
      <c r="A457" s="12" t="s">
        <v>1215</v>
      </c>
      <c r="B457" s="12" t="s">
        <v>2138</v>
      </c>
      <c r="C457" s="12" t="s">
        <v>3461</v>
      </c>
    </row>
    <row r="458" customFormat="false" ht="15" hidden="false" customHeight="false" outlineLevel="0" collapsed="false">
      <c r="A458" s="12" t="s">
        <v>1215</v>
      </c>
      <c r="B458" s="12" t="s">
        <v>1537</v>
      </c>
      <c r="C458" s="12" t="s">
        <v>3461</v>
      </c>
    </row>
    <row r="459" customFormat="false" ht="15" hidden="false" customHeight="false" outlineLevel="0" collapsed="false">
      <c r="A459" s="12" t="s">
        <v>1215</v>
      </c>
      <c r="B459" s="12" t="s">
        <v>1427</v>
      </c>
      <c r="C459" s="12" t="s">
        <v>3462</v>
      </c>
    </row>
    <row r="460" customFormat="false" ht="15" hidden="false" customHeight="false" outlineLevel="0" collapsed="false">
      <c r="A460" s="12" t="s">
        <v>1228</v>
      </c>
      <c r="B460" s="12" t="s">
        <v>1390</v>
      </c>
      <c r="C460" s="12" t="s">
        <v>3461</v>
      </c>
    </row>
    <row r="461" customFormat="false" ht="15" hidden="false" customHeight="false" outlineLevel="0" collapsed="false">
      <c r="A461" s="12" t="s">
        <v>1228</v>
      </c>
      <c r="B461" s="12" t="s">
        <v>1432</v>
      </c>
      <c r="C461" s="12" t="s">
        <v>3463</v>
      </c>
    </row>
    <row r="462" customFormat="false" ht="15" hidden="false" customHeight="false" outlineLevel="0" collapsed="false">
      <c r="A462" s="12" t="s">
        <v>1231</v>
      </c>
      <c r="B462" s="12" t="s">
        <v>2732</v>
      </c>
      <c r="C462" s="12" t="s">
        <v>3461</v>
      </c>
    </row>
    <row r="463" customFormat="false" ht="15" hidden="false" customHeight="false" outlineLevel="0" collapsed="false">
      <c r="A463" s="12" t="s">
        <v>1231</v>
      </c>
      <c r="B463" s="12" t="s">
        <v>1427</v>
      </c>
      <c r="C463" s="12" t="s">
        <v>3461</v>
      </c>
    </row>
    <row r="464" customFormat="false" ht="15" hidden="false" customHeight="false" outlineLevel="0" collapsed="false">
      <c r="A464" s="12" t="s">
        <v>1231</v>
      </c>
      <c r="B464" s="12" t="s">
        <v>2118</v>
      </c>
      <c r="C464" s="12" t="s">
        <v>3461</v>
      </c>
    </row>
    <row r="465" customFormat="false" ht="15" hidden="false" customHeight="false" outlineLevel="0" collapsed="false">
      <c r="A465" s="12" t="s">
        <v>1231</v>
      </c>
      <c r="B465" s="12" t="s">
        <v>2149</v>
      </c>
      <c r="C465" s="12" t="s">
        <v>3463</v>
      </c>
    </row>
    <row r="466" customFormat="false" ht="15" hidden="false" customHeight="false" outlineLevel="0" collapsed="false">
      <c r="A466" s="12" t="s">
        <v>1231</v>
      </c>
      <c r="B466" s="12" t="s">
        <v>2152</v>
      </c>
      <c r="C466" s="12" t="s">
        <v>3463</v>
      </c>
    </row>
    <row r="467" customFormat="false" ht="15" hidden="false" customHeight="false" outlineLevel="0" collapsed="false">
      <c r="A467" s="12" t="s">
        <v>1231</v>
      </c>
      <c r="B467" s="12" t="s">
        <v>3340</v>
      </c>
      <c r="C467" s="12" t="s">
        <v>3462</v>
      </c>
    </row>
    <row r="468" customFormat="false" ht="15" hidden="false" customHeight="false" outlineLevel="0" collapsed="false">
      <c r="A468" s="12" t="s">
        <v>1231</v>
      </c>
      <c r="B468" s="12" t="s">
        <v>3345</v>
      </c>
      <c r="C468" s="12" t="s">
        <v>3462</v>
      </c>
    </row>
    <row r="469" customFormat="false" ht="15" hidden="false" customHeight="false" outlineLevel="0" collapsed="false">
      <c r="A469" s="12" t="s">
        <v>1231</v>
      </c>
      <c r="B469" s="12" t="s">
        <v>3350</v>
      </c>
      <c r="C469" s="12" t="s">
        <v>3462</v>
      </c>
    </row>
    <row r="470" customFormat="false" ht="15" hidden="false" customHeight="false" outlineLevel="0" collapsed="false">
      <c r="A470" s="12" t="s">
        <v>1231</v>
      </c>
      <c r="B470" s="12" t="s">
        <v>3354</v>
      </c>
      <c r="C470" s="12" t="s">
        <v>3462</v>
      </c>
    </row>
    <row r="471" customFormat="false" ht="15" hidden="false" customHeight="false" outlineLevel="0" collapsed="false">
      <c r="A471" s="12" t="s">
        <v>1359</v>
      </c>
      <c r="B471" s="12" t="s">
        <v>2155</v>
      </c>
      <c r="C471" s="12" t="s">
        <v>3461</v>
      </c>
    </row>
    <row r="472" customFormat="false" ht="15" hidden="false" customHeight="false" outlineLevel="0" collapsed="false">
      <c r="A472" s="12" t="s">
        <v>1359</v>
      </c>
      <c r="B472" s="12" t="s">
        <v>1427</v>
      </c>
      <c r="C472" s="12" t="s">
        <v>3463</v>
      </c>
    </row>
    <row r="473" customFormat="false" ht="15" hidden="false" customHeight="false" outlineLevel="0" collapsed="false">
      <c r="A473" s="12" t="s">
        <v>1359</v>
      </c>
      <c r="B473" s="12" t="s">
        <v>3358</v>
      </c>
      <c r="C473" s="12" t="s">
        <v>3462</v>
      </c>
    </row>
    <row r="474" customFormat="false" ht="15" hidden="false" customHeight="false" outlineLevel="0" collapsed="false">
      <c r="A474" s="12" t="s">
        <v>1359</v>
      </c>
      <c r="B474" s="12" t="s">
        <v>2195</v>
      </c>
      <c r="C474" s="12" t="s">
        <v>3462</v>
      </c>
    </row>
    <row r="475" customFormat="false" ht="15" hidden="false" customHeight="false" outlineLevel="0" collapsed="false">
      <c r="A475" s="12" t="s">
        <v>1359</v>
      </c>
      <c r="B475" s="12" t="s">
        <v>3364</v>
      </c>
      <c r="C475" s="12" t="s">
        <v>3462</v>
      </c>
    </row>
    <row r="476" customFormat="false" ht="15" hidden="false" customHeight="false" outlineLevel="0" collapsed="false">
      <c r="A476" s="12" t="s">
        <v>1257</v>
      </c>
      <c r="B476" s="12" t="s">
        <v>2569</v>
      </c>
      <c r="C476" s="12" t="s">
        <v>3461</v>
      </c>
    </row>
    <row r="477" customFormat="false" ht="15" hidden="false" customHeight="false" outlineLevel="0" collapsed="false">
      <c r="A477" s="12" t="s">
        <v>1257</v>
      </c>
      <c r="B477" s="12" t="s">
        <v>2163</v>
      </c>
      <c r="C477" s="12" t="s">
        <v>3461</v>
      </c>
    </row>
    <row r="478" customFormat="false" ht="15" hidden="false" customHeight="false" outlineLevel="0" collapsed="false">
      <c r="A478" s="12" t="s">
        <v>1257</v>
      </c>
      <c r="B478" s="12" t="s">
        <v>2160</v>
      </c>
      <c r="C478" s="12" t="s">
        <v>3463</v>
      </c>
    </row>
    <row r="479" customFormat="false" ht="15" hidden="false" customHeight="false" outlineLevel="0" collapsed="false">
      <c r="A479" s="12" t="s">
        <v>1257</v>
      </c>
      <c r="B479" s="12" t="s">
        <v>2166</v>
      </c>
      <c r="C479" s="12" t="s">
        <v>3463</v>
      </c>
    </row>
    <row r="480" customFormat="false" ht="15" hidden="false" customHeight="false" outlineLevel="0" collapsed="false">
      <c r="A480" s="12" t="s">
        <v>1257</v>
      </c>
      <c r="B480" s="12" t="s">
        <v>3375</v>
      </c>
      <c r="C480" s="12" t="s">
        <v>3462</v>
      </c>
    </row>
    <row r="481" customFormat="false" ht="15" hidden="false" customHeight="false" outlineLevel="0" collapsed="false">
      <c r="A481" s="12" t="s">
        <v>1257</v>
      </c>
      <c r="B481" s="12" t="s">
        <v>3379</v>
      </c>
      <c r="C481" s="12" t="s">
        <v>3462</v>
      </c>
    </row>
    <row r="482" customFormat="false" ht="15" hidden="false" customHeight="false" outlineLevel="0" collapsed="false">
      <c r="A482" s="12" t="s">
        <v>1257</v>
      </c>
      <c r="B482" s="12" t="s">
        <v>3383</v>
      </c>
      <c r="C482" s="12" t="s">
        <v>3462</v>
      </c>
    </row>
    <row r="483" customFormat="false" ht="15" hidden="false" customHeight="false" outlineLevel="0" collapsed="false">
      <c r="A483" s="12" t="s">
        <v>1268</v>
      </c>
      <c r="B483" s="12" t="s">
        <v>1390</v>
      </c>
      <c r="C483" s="12" t="s">
        <v>3461</v>
      </c>
    </row>
    <row r="484" customFormat="false" ht="15" hidden="false" customHeight="false" outlineLevel="0" collapsed="false">
      <c r="A484" s="12" t="s">
        <v>1268</v>
      </c>
      <c r="B484" s="12" t="s">
        <v>2702</v>
      </c>
      <c r="C484" s="12" t="s">
        <v>3461</v>
      </c>
    </row>
    <row r="485" customFormat="false" ht="15" hidden="false" customHeight="false" outlineLevel="0" collapsed="false">
      <c r="A485" s="12" t="s">
        <v>1268</v>
      </c>
      <c r="B485" s="12" t="s">
        <v>1432</v>
      </c>
      <c r="C485" s="12" t="s">
        <v>3463</v>
      </c>
    </row>
    <row r="486" customFormat="false" ht="15" hidden="false" customHeight="false" outlineLevel="0" collapsed="false">
      <c r="A486" s="12" t="s">
        <v>1268</v>
      </c>
      <c r="B486" s="12" t="s">
        <v>1822</v>
      </c>
      <c r="C486" s="12" t="s">
        <v>3463</v>
      </c>
    </row>
    <row r="487" customFormat="false" ht="15" hidden="false" customHeight="false" outlineLevel="0" collapsed="false">
      <c r="A487" s="12" t="s">
        <v>1268</v>
      </c>
      <c r="B487" s="12" t="s">
        <v>2160</v>
      </c>
      <c r="C487" s="12" t="s">
        <v>3463</v>
      </c>
    </row>
    <row r="488" customFormat="false" ht="15" hidden="false" customHeight="false" outlineLevel="0" collapsed="false">
      <c r="A488" s="12" t="s">
        <v>1268</v>
      </c>
      <c r="B488" s="12" t="s">
        <v>3375</v>
      </c>
      <c r="C488" s="12" t="s">
        <v>3462</v>
      </c>
    </row>
    <row r="489" customFormat="false" ht="15" hidden="false" customHeight="false" outlineLevel="0" collapsed="false">
      <c r="A489" s="12" t="s">
        <v>1274</v>
      </c>
      <c r="B489" s="12" t="s">
        <v>1634</v>
      </c>
      <c r="C489" s="12" t="s">
        <v>3461</v>
      </c>
    </row>
    <row r="490" customFormat="false" ht="15" hidden="false" customHeight="false" outlineLevel="0" collapsed="false">
      <c r="A490" s="12" t="s">
        <v>1274</v>
      </c>
      <c r="B490" s="12" t="s">
        <v>2642</v>
      </c>
      <c r="C490" s="12" t="s">
        <v>3461</v>
      </c>
    </row>
    <row r="491" customFormat="false" ht="15" hidden="false" customHeight="false" outlineLevel="0" collapsed="false">
      <c r="A491" s="12" t="s">
        <v>1284</v>
      </c>
      <c r="B491" s="12" t="s">
        <v>2179</v>
      </c>
      <c r="C491" s="12" t="s">
        <v>3461</v>
      </c>
    </row>
    <row r="492" customFormat="false" ht="15" hidden="false" customHeight="false" outlineLevel="0" collapsed="false">
      <c r="A492" s="12" t="s">
        <v>1290</v>
      </c>
      <c r="B492" s="12" t="s">
        <v>1390</v>
      </c>
      <c r="C492" s="12" t="s">
        <v>3461</v>
      </c>
    </row>
    <row r="493" customFormat="false" ht="15" hidden="false" customHeight="false" outlineLevel="0" collapsed="false">
      <c r="A493" s="12" t="s">
        <v>1290</v>
      </c>
      <c r="B493" s="12" t="s">
        <v>1427</v>
      </c>
      <c r="C493" s="12" t="s">
        <v>3461</v>
      </c>
    </row>
    <row r="494" customFormat="false" ht="15" hidden="false" customHeight="false" outlineLevel="0" collapsed="false">
      <c r="A494" s="12" t="s">
        <v>1290</v>
      </c>
      <c r="B494" s="12" t="s">
        <v>3388</v>
      </c>
      <c r="C494" s="12" t="s">
        <v>3462</v>
      </c>
    </row>
    <row r="495" customFormat="false" ht="15" hidden="false" customHeight="false" outlineLevel="0" collapsed="false">
      <c r="A495" s="12" t="s">
        <v>1299</v>
      </c>
      <c r="B495" s="12" t="s">
        <v>1390</v>
      </c>
      <c r="C495" s="12" t="s">
        <v>3461</v>
      </c>
    </row>
    <row r="496" customFormat="false" ht="15" hidden="false" customHeight="false" outlineLevel="0" collapsed="false">
      <c r="A496" s="12" t="s">
        <v>1299</v>
      </c>
      <c r="B496" s="12" t="s">
        <v>1427</v>
      </c>
      <c r="C496" s="12" t="s">
        <v>3461</v>
      </c>
    </row>
    <row r="497" customFormat="false" ht="15" hidden="false" customHeight="false" outlineLevel="0" collapsed="false">
      <c r="A497" s="12" t="s">
        <v>1299</v>
      </c>
      <c r="B497" s="12" t="s">
        <v>1432</v>
      </c>
      <c r="C497" s="12" t="s">
        <v>3463</v>
      </c>
    </row>
    <row r="498" customFormat="false" ht="15" hidden="false" customHeight="false" outlineLevel="0" collapsed="false">
      <c r="A498" s="12" t="s">
        <v>1299</v>
      </c>
      <c r="B498" s="12" t="s">
        <v>3388</v>
      </c>
      <c r="C498" s="12" t="s">
        <v>3462</v>
      </c>
    </row>
    <row r="499" customFormat="false" ht="15" hidden="false" customHeight="false" outlineLevel="0" collapsed="false">
      <c r="A499" s="12" t="s">
        <v>1299</v>
      </c>
      <c r="B499" s="12" t="s">
        <v>3392</v>
      </c>
      <c r="C499" s="12" t="s">
        <v>3462</v>
      </c>
    </row>
    <row r="500" customFormat="false" ht="15" hidden="false" customHeight="false" outlineLevel="0" collapsed="false">
      <c r="A500" s="12" t="s">
        <v>1248</v>
      </c>
      <c r="B500" s="12" t="s">
        <v>2195</v>
      </c>
      <c r="C500" s="12" t="s">
        <v>3461</v>
      </c>
    </row>
    <row r="501" customFormat="false" ht="15" hidden="false" customHeight="false" outlineLevel="0" collapsed="false">
      <c r="A501" s="12" t="s">
        <v>1248</v>
      </c>
      <c r="B501" s="12" t="s">
        <v>2192</v>
      </c>
      <c r="C501" s="12" t="s">
        <v>3461</v>
      </c>
    </row>
  </sheetData>
  <autoFilter ref="A1:C5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10"/>
    <col collapsed="false" customWidth="true" hidden="false" outlineLevel="0" max="4" min="4" style="0" width="13"/>
    <col collapsed="false" customWidth="true" hidden="false" outlineLevel="0" max="5" min="5" style="0" width="15"/>
    <col collapsed="false" customWidth="true" hidden="false" outlineLevel="0" max="7" min="6" style="0" width="50"/>
    <col collapsed="false" customWidth="true" hidden="false" outlineLevel="0" max="8" min="8" style="0" width="12"/>
    <col collapsed="false" customWidth="true" hidden="false" outlineLevel="0" max="10" min="9" style="0" width="10"/>
    <col collapsed="false" customWidth="true" hidden="false" outlineLevel="0" max="11" min="11" style="0" width="40"/>
  </cols>
  <sheetData>
    <row r="1" customFormat="false" ht="15" hidden="false" customHeight="false" outlineLevel="0" collapsed="false">
      <c r="A1" s="11" t="s">
        <v>3465</v>
      </c>
      <c r="B1" s="11" t="s">
        <v>1373</v>
      </c>
      <c r="C1" s="11" t="s">
        <v>3466</v>
      </c>
      <c r="D1" s="11" t="s">
        <v>3467</v>
      </c>
      <c r="E1" s="11" t="s">
        <v>3468</v>
      </c>
      <c r="F1" s="11" t="s">
        <v>3469</v>
      </c>
      <c r="G1" s="11" t="s">
        <v>3470</v>
      </c>
      <c r="H1" s="11" t="s">
        <v>86</v>
      </c>
      <c r="I1" s="11" t="s">
        <v>3471</v>
      </c>
      <c r="J1" s="11" t="s">
        <v>3472</v>
      </c>
      <c r="K1" s="11" t="s">
        <v>2337</v>
      </c>
    </row>
    <row r="2" customFormat="false" ht="15" hidden="false" customHeight="false" outlineLevel="0" collapsed="false">
      <c r="A2" s="12" t="s">
        <v>653</v>
      </c>
      <c r="B2" s="12" t="s">
        <v>1822</v>
      </c>
      <c r="C2" s="12" t="s">
        <v>107</v>
      </c>
      <c r="D2" s="12"/>
      <c r="E2" s="12"/>
      <c r="F2" s="12"/>
      <c r="G2" s="12"/>
      <c r="H2" s="12" t="s">
        <v>143</v>
      </c>
      <c r="I2" s="12" t="s">
        <v>3473</v>
      </c>
      <c r="J2" s="12" t="n">
        <v>19</v>
      </c>
      <c r="K2" s="12"/>
    </row>
    <row r="3" customFormat="false" ht="15" hidden="false" customHeight="false" outlineLevel="0" collapsed="false">
      <c r="A3" s="12" t="s">
        <v>653</v>
      </c>
      <c r="B3" s="12" t="s">
        <v>1822</v>
      </c>
      <c r="C3" s="12" t="s">
        <v>107</v>
      </c>
      <c r="D3" s="12"/>
      <c r="E3" s="12"/>
      <c r="F3" s="12"/>
      <c r="G3" s="12"/>
      <c r="H3" s="12" t="s">
        <v>143</v>
      </c>
      <c r="I3" s="12" t="s">
        <v>3474</v>
      </c>
      <c r="J3" s="12" t="n">
        <v>81192971</v>
      </c>
      <c r="K3" s="12"/>
    </row>
    <row r="4" customFormat="false" ht="15" hidden="false" customHeight="false" outlineLevel="0" collapsed="false">
      <c r="A4" s="12" t="s">
        <v>653</v>
      </c>
      <c r="B4" s="12" t="s">
        <v>1822</v>
      </c>
      <c r="C4" s="12" t="s">
        <v>107</v>
      </c>
      <c r="D4" s="12"/>
      <c r="E4" s="12"/>
      <c r="F4" s="12"/>
      <c r="G4" s="12"/>
      <c r="H4" s="12" t="s">
        <v>143</v>
      </c>
      <c r="I4" s="12" t="s">
        <v>3475</v>
      </c>
      <c r="J4" s="12" t="n">
        <v>9</v>
      </c>
      <c r="K4" s="12"/>
    </row>
    <row r="5" customFormat="false" ht="15" hidden="false" customHeight="false" outlineLevel="0" collapsed="false">
      <c r="A5" s="12" t="s">
        <v>653</v>
      </c>
      <c r="B5" s="12" t="s">
        <v>1822</v>
      </c>
      <c r="C5" s="12" t="s">
        <v>107</v>
      </c>
      <c r="D5" s="12"/>
      <c r="E5" s="12"/>
      <c r="F5" s="12"/>
      <c r="G5" s="12"/>
      <c r="H5" s="12" t="s">
        <v>143</v>
      </c>
      <c r="I5" s="12" t="s">
        <v>3476</v>
      </c>
      <c r="J5" s="12" t="n">
        <v>5</v>
      </c>
      <c r="K5" s="12"/>
    </row>
    <row r="6" customFormat="false" ht="15" hidden="false" customHeight="false" outlineLevel="0" collapsed="false">
      <c r="A6" s="12" t="s">
        <v>653</v>
      </c>
      <c r="B6" s="12" t="s">
        <v>1822</v>
      </c>
      <c r="C6" s="12" t="s">
        <v>3467</v>
      </c>
      <c r="D6" s="12" t="s">
        <v>3477</v>
      </c>
      <c r="E6" s="12" t="s">
        <v>3478</v>
      </c>
      <c r="F6" s="12"/>
      <c r="G6" s="12"/>
      <c r="H6" s="12"/>
      <c r="I6" s="12" t="s">
        <v>3474</v>
      </c>
      <c r="J6" s="12" t="n">
        <v>17124672</v>
      </c>
      <c r="K6" s="12"/>
    </row>
    <row r="7" customFormat="false" ht="15" hidden="false" customHeight="false" outlineLevel="0" collapsed="false">
      <c r="A7" s="12" t="s">
        <v>653</v>
      </c>
      <c r="B7" s="12" t="s">
        <v>1822</v>
      </c>
      <c r="C7" s="12" t="s">
        <v>3467</v>
      </c>
      <c r="D7" s="12" t="s">
        <v>3478</v>
      </c>
      <c r="E7" s="12" t="s">
        <v>3478</v>
      </c>
      <c r="F7" s="12"/>
      <c r="G7" s="12"/>
      <c r="H7" s="12"/>
      <c r="I7" s="12" t="s">
        <v>3474</v>
      </c>
      <c r="J7" s="12" t="n">
        <v>29733</v>
      </c>
      <c r="K7" s="12"/>
    </row>
    <row r="8" customFormat="false" ht="15" hidden="false" customHeight="false" outlineLevel="0" collapsed="false">
      <c r="A8" s="12" t="s">
        <v>653</v>
      </c>
      <c r="B8" s="12" t="s">
        <v>1822</v>
      </c>
      <c r="C8" s="12" t="s">
        <v>3467</v>
      </c>
      <c r="D8" s="12" t="s">
        <v>224</v>
      </c>
      <c r="E8" s="12" t="s">
        <v>224</v>
      </c>
      <c r="F8" s="12"/>
      <c r="G8" s="12"/>
      <c r="H8" s="12"/>
      <c r="I8" s="12" t="s">
        <v>3474</v>
      </c>
      <c r="J8" s="12" t="n">
        <v>29083400</v>
      </c>
      <c r="K8" s="12"/>
    </row>
    <row r="9" customFormat="false" ht="15" hidden="false" customHeight="false" outlineLevel="0" collapsed="false">
      <c r="A9" s="12" t="s">
        <v>653</v>
      </c>
      <c r="B9" s="12" t="s">
        <v>1822</v>
      </c>
      <c r="C9" s="12" t="s">
        <v>3467</v>
      </c>
      <c r="D9" s="12" t="s">
        <v>3479</v>
      </c>
      <c r="E9" s="12" t="s">
        <v>3480</v>
      </c>
      <c r="F9" s="12"/>
      <c r="G9" s="12"/>
      <c r="H9" s="12"/>
      <c r="I9" s="12" t="s">
        <v>3474</v>
      </c>
      <c r="J9" s="12" t="n">
        <v>2675479</v>
      </c>
      <c r="K9" s="12"/>
    </row>
    <row r="10" customFormat="false" ht="15" hidden="false" customHeight="false" outlineLevel="0" collapsed="false">
      <c r="A10" s="12" t="s">
        <v>653</v>
      </c>
      <c r="B10" s="12" t="s">
        <v>1822</v>
      </c>
      <c r="C10" s="12" t="s">
        <v>3467</v>
      </c>
      <c r="D10" s="12" t="s">
        <v>240</v>
      </c>
      <c r="E10" s="12" t="s">
        <v>240</v>
      </c>
      <c r="F10" s="12"/>
      <c r="G10" s="12"/>
      <c r="H10" s="12"/>
      <c r="I10" s="12" t="s">
        <v>3474</v>
      </c>
      <c r="J10" s="12" t="n">
        <v>97</v>
      </c>
      <c r="K10" s="12"/>
    </row>
    <row r="11" customFormat="false" ht="15" hidden="false" customHeight="false" outlineLevel="0" collapsed="false">
      <c r="A11" s="12" t="s">
        <v>653</v>
      </c>
      <c r="B11" s="12" t="s">
        <v>1822</v>
      </c>
      <c r="C11" s="12" t="s">
        <v>3467</v>
      </c>
      <c r="D11" s="12" t="s">
        <v>232</v>
      </c>
      <c r="E11" s="12" t="s">
        <v>232</v>
      </c>
      <c r="F11" s="12"/>
      <c r="G11" s="12"/>
      <c r="H11" s="12"/>
      <c r="I11" s="12" t="s">
        <v>3474</v>
      </c>
      <c r="J11" s="12" t="n">
        <v>19659090</v>
      </c>
      <c r="K11" s="12"/>
    </row>
    <row r="12" customFormat="false" ht="15" hidden="false" customHeight="false" outlineLevel="0" collapsed="false">
      <c r="A12" s="12" t="s">
        <v>653</v>
      </c>
      <c r="B12" s="12" t="s">
        <v>1822</v>
      </c>
      <c r="C12" s="12" t="s">
        <v>3467</v>
      </c>
      <c r="D12" s="12" t="s">
        <v>3481</v>
      </c>
      <c r="E12" s="12" t="s">
        <v>3478</v>
      </c>
      <c r="F12" s="12"/>
      <c r="G12" s="12"/>
      <c r="H12" s="12"/>
      <c r="I12" s="12" t="s">
        <v>3474</v>
      </c>
      <c r="J12" s="12" t="n">
        <v>12620500</v>
      </c>
      <c r="K12" s="12"/>
    </row>
    <row r="13" customFormat="false" ht="15" hidden="false" customHeight="false" outlineLevel="0" collapsed="false">
      <c r="A13" s="12" t="s">
        <v>653</v>
      </c>
      <c r="B13" s="12" t="s">
        <v>1822</v>
      </c>
      <c r="C13" s="12" t="s">
        <v>3482</v>
      </c>
      <c r="D13" s="12" t="s">
        <v>3477</v>
      </c>
      <c r="E13" s="12" t="s">
        <v>3478</v>
      </c>
      <c r="F13" s="12" t="s">
        <v>3477</v>
      </c>
      <c r="G13" s="12" t="s">
        <v>3477</v>
      </c>
      <c r="H13" s="12" t="s">
        <v>562</v>
      </c>
      <c r="I13" s="12" t="s">
        <v>3474</v>
      </c>
      <c r="J13" s="12" t="n">
        <v>17124672</v>
      </c>
      <c r="K13" s="12" t="s">
        <v>3483</v>
      </c>
    </row>
    <row r="14" customFormat="false" ht="15" hidden="false" customHeight="false" outlineLevel="0" collapsed="false">
      <c r="A14" s="12" t="s">
        <v>653</v>
      </c>
      <c r="B14" s="12" t="s">
        <v>1822</v>
      </c>
      <c r="C14" s="12" t="s">
        <v>3482</v>
      </c>
      <c r="D14" s="12" t="s">
        <v>3478</v>
      </c>
      <c r="E14" s="12" t="s">
        <v>3478</v>
      </c>
      <c r="F14" s="12" t="s">
        <v>3484</v>
      </c>
      <c r="G14" s="12" t="s">
        <v>3484</v>
      </c>
      <c r="H14" s="12" t="s">
        <v>721</v>
      </c>
      <c r="I14" s="12" t="s">
        <v>3474</v>
      </c>
      <c r="J14" s="12" t="n">
        <v>1349</v>
      </c>
      <c r="K14" s="12"/>
    </row>
    <row r="15" customFormat="false" ht="15" hidden="false" customHeight="false" outlineLevel="0" collapsed="false">
      <c r="A15" s="12" t="s">
        <v>653</v>
      </c>
      <c r="B15" s="12" t="s">
        <v>1822</v>
      </c>
      <c r="C15" s="12" t="s">
        <v>3482</v>
      </c>
      <c r="D15" s="12" t="s">
        <v>3478</v>
      </c>
      <c r="E15" s="12" t="s">
        <v>3478</v>
      </c>
      <c r="F15" s="12" t="s">
        <v>3485</v>
      </c>
      <c r="G15" s="12" t="s">
        <v>3486</v>
      </c>
      <c r="H15" s="12" t="s">
        <v>1018</v>
      </c>
      <c r="I15" s="12" t="s">
        <v>3474</v>
      </c>
      <c r="J15" s="12" t="n">
        <v>28384</v>
      </c>
      <c r="K15" s="12"/>
    </row>
    <row r="16" customFormat="false" ht="15" hidden="false" customHeight="false" outlineLevel="0" collapsed="false">
      <c r="A16" s="12" t="s">
        <v>653</v>
      </c>
      <c r="B16" s="12" t="s">
        <v>1822</v>
      </c>
      <c r="C16" s="12" t="s">
        <v>3482</v>
      </c>
      <c r="D16" s="12" t="s">
        <v>224</v>
      </c>
      <c r="E16" s="12" t="s">
        <v>224</v>
      </c>
      <c r="F16" s="12" t="s">
        <v>3487</v>
      </c>
      <c r="G16" s="12" t="s">
        <v>3488</v>
      </c>
      <c r="H16" s="12" t="s">
        <v>647</v>
      </c>
      <c r="I16" s="12" t="s">
        <v>3474</v>
      </c>
      <c r="J16" s="12" t="n">
        <v>12</v>
      </c>
      <c r="K16" s="12"/>
    </row>
    <row r="17" customFormat="false" ht="15" hidden="false" customHeight="false" outlineLevel="0" collapsed="false">
      <c r="A17" s="12" t="s">
        <v>653</v>
      </c>
      <c r="B17" s="12" t="s">
        <v>1822</v>
      </c>
      <c r="C17" s="12" t="s">
        <v>3482</v>
      </c>
      <c r="D17" s="12" t="s">
        <v>224</v>
      </c>
      <c r="E17" s="12" t="s">
        <v>224</v>
      </c>
      <c r="F17" s="12" t="s">
        <v>3489</v>
      </c>
      <c r="G17" s="12" t="s">
        <v>3489</v>
      </c>
      <c r="H17" s="12" t="s">
        <v>1268</v>
      </c>
      <c r="I17" s="12" t="s">
        <v>3474</v>
      </c>
      <c r="J17" s="12" t="n">
        <v>121810</v>
      </c>
      <c r="K17" s="12"/>
    </row>
    <row r="18" customFormat="false" ht="15" hidden="false" customHeight="false" outlineLevel="0" collapsed="false">
      <c r="A18" s="12" t="s">
        <v>653</v>
      </c>
      <c r="B18" s="12" t="s">
        <v>1822</v>
      </c>
      <c r="C18" s="12" t="s">
        <v>3482</v>
      </c>
      <c r="D18" s="12" t="s">
        <v>224</v>
      </c>
      <c r="E18" s="12" t="s">
        <v>224</v>
      </c>
      <c r="F18" s="12" t="s">
        <v>3490</v>
      </c>
      <c r="G18" s="12" t="s">
        <v>3491</v>
      </c>
      <c r="H18" s="12" t="s">
        <v>837</v>
      </c>
      <c r="I18" s="12" t="s">
        <v>3474</v>
      </c>
      <c r="J18" s="12" t="n">
        <v>3368429</v>
      </c>
      <c r="K18" s="12"/>
    </row>
    <row r="19" customFormat="false" ht="15" hidden="false" customHeight="false" outlineLevel="0" collapsed="false">
      <c r="A19" s="12" t="s">
        <v>653</v>
      </c>
      <c r="B19" s="12" t="s">
        <v>1822</v>
      </c>
      <c r="C19" s="12" t="s">
        <v>3482</v>
      </c>
      <c r="D19" s="12" t="s">
        <v>224</v>
      </c>
      <c r="E19" s="12" t="s">
        <v>224</v>
      </c>
      <c r="F19" s="12" t="s">
        <v>3492</v>
      </c>
      <c r="G19" s="12" t="s">
        <v>3492</v>
      </c>
      <c r="H19" s="12" t="s">
        <v>843</v>
      </c>
      <c r="I19" s="12" t="s">
        <v>3474</v>
      </c>
      <c r="J19" s="12" t="n">
        <v>25201556</v>
      </c>
      <c r="K19" s="12"/>
    </row>
    <row r="20" customFormat="false" ht="15" hidden="false" customHeight="false" outlineLevel="0" collapsed="false">
      <c r="A20" s="12" t="s">
        <v>653</v>
      </c>
      <c r="B20" s="12" t="s">
        <v>1822</v>
      </c>
      <c r="C20" s="12" t="s">
        <v>3482</v>
      </c>
      <c r="D20" s="12" t="s">
        <v>224</v>
      </c>
      <c r="E20" s="12" t="s">
        <v>224</v>
      </c>
      <c r="F20" s="12" t="s">
        <v>3493</v>
      </c>
      <c r="G20" s="12" t="s">
        <v>3493</v>
      </c>
      <c r="H20" s="12" t="s">
        <v>265</v>
      </c>
      <c r="I20" s="12" t="s">
        <v>3474</v>
      </c>
      <c r="J20" s="12" t="n">
        <v>5225</v>
      </c>
      <c r="K20" s="12"/>
    </row>
    <row r="21" customFormat="false" ht="15" hidden="false" customHeight="false" outlineLevel="0" collapsed="false">
      <c r="A21" s="12" t="s">
        <v>653</v>
      </c>
      <c r="B21" s="12" t="s">
        <v>1822</v>
      </c>
      <c r="C21" s="12" t="s">
        <v>3482</v>
      </c>
      <c r="D21" s="12" t="s">
        <v>224</v>
      </c>
      <c r="E21" s="12" t="s">
        <v>224</v>
      </c>
      <c r="F21" s="12" t="s">
        <v>3494</v>
      </c>
      <c r="G21" s="12" t="s">
        <v>3495</v>
      </c>
      <c r="H21" s="12" t="s">
        <v>1299</v>
      </c>
      <c r="I21" s="12" t="s">
        <v>3474</v>
      </c>
      <c r="J21" s="12" t="n">
        <v>386363</v>
      </c>
      <c r="K21" s="12"/>
    </row>
    <row r="22" customFormat="false" ht="15" hidden="false" customHeight="false" outlineLevel="0" collapsed="false">
      <c r="A22" s="12" t="s">
        <v>653</v>
      </c>
      <c r="B22" s="12" t="s">
        <v>1822</v>
      </c>
      <c r="C22" s="12" t="s">
        <v>3482</v>
      </c>
      <c r="D22" s="12" t="s">
        <v>224</v>
      </c>
      <c r="E22" s="12" t="s">
        <v>224</v>
      </c>
      <c r="F22" s="12" t="s">
        <v>3496</v>
      </c>
      <c r="G22" s="12" t="s">
        <v>3496</v>
      </c>
      <c r="H22" s="12" t="s">
        <v>1290</v>
      </c>
      <c r="I22" s="12" t="s">
        <v>3474</v>
      </c>
      <c r="J22" s="12" t="n">
        <v>1</v>
      </c>
      <c r="K22" s="12"/>
    </row>
    <row r="23" customFormat="false" ht="15" hidden="false" customHeight="false" outlineLevel="0" collapsed="false">
      <c r="A23" s="12" t="s">
        <v>653</v>
      </c>
      <c r="B23" s="12" t="s">
        <v>1822</v>
      </c>
      <c r="C23" s="12" t="s">
        <v>3482</v>
      </c>
      <c r="D23" s="12" t="s">
        <v>3479</v>
      </c>
      <c r="E23" s="12" t="s">
        <v>3480</v>
      </c>
      <c r="F23" s="12" t="s">
        <v>3497</v>
      </c>
      <c r="G23" s="12" t="s">
        <v>3479</v>
      </c>
      <c r="H23" s="12" t="s">
        <v>827</v>
      </c>
      <c r="I23" s="12" t="s">
        <v>3474</v>
      </c>
      <c r="J23" s="12" t="n">
        <v>2675479</v>
      </c>
      <c r="K23" s="12" t="s">
        <v>3483</v>
      </c>
    </row>
    <row r="24" customFormat="false" ht="15" hidden="false" customHeight="false" outlineLevel="0" collapsed="false">
      <c r="A24" s="12" t="s">
        <v>653</v>
      </c>
      <c r="B24" s="12" t="s">
        <v>1822</v>
      </c>
      <c r="C24" s="12" t="s">
        <v>3482</v>
      </c>
      <c r="D24" s="12" t="s">
        <v>240</v>
      </c>
      <c r="E24" s="12" t="s">
        <v>240</v>
      </c>
      <c r="F24" s="12" t="s">
        <v>3498</v>
      </c>
      <c r="G24" s="12" t="s">
        <v>3499</v>
      </c>
      <c r="H24" s="12" t="s">
        <v>239</v>
      </c>
      <c r="I24" s="12" t="s">
        <v>3474</v>
      </c>
      <c r="J24" s="12" t="n">
        <v>97</v>
      </c>
      <c r="K24" s="12"/>
    </row>
    <row r="25" customFormat="false" ht="15" hidden="false" customHeight="false" outlineLevel="0" collapsed="false">
      <c r="A25" s="12" t="s">
        <v>653</v>
      </c>
      <c r="B25" s="12" t="s">
        <v>1822</v>
      </c>
      <c r="C25" s="12" t="s">
        <v>3482</v>
      </c>
      <c r="D25" s="12" t="s">
        <v>232</v>
      </c>
      <c r="E25" s="12" t="s">
        <v>232</v>
      </c>
      <c r="F25" s="12" t="s">
        <v>3500</v>
      </c>
      <c r="G25" s="12" t="s">
        <v>3500</v>
      </c>
      <c r="H25" s="12" t="s">
        <v>821</v>
      </c>
      <c r="I25" s="12" t="s">
        <v>3474</v>
      </c>
      <c r="J25" s="12" t="n">
        <v>4185</v>
      </c>
      <c r="K25" s="12"/>
    </row>
    <row r="26" customFormat="false" ht="15" hidden="false" customHeight="false" outlineLevel="0" collapsed="false">
      <c r="A26" s="12" t="s">
        <v>653</v>
      </c>
      <c r="B26" s="12" t="s">
        <v>1822</v>
      </c>
      <c r="C26" s="12" t="s">
        <v>3482</v>
      </c>
      <c r="D26" s="12" t="s">
        <v>232</v>
      </c>
      <c r="E26" s="12" t="s">
        <v>232</v>
      </c>
      <c r="F26" s="12" t="s">
        <v>3501</v>
      </c>
      <c r="G26" s="12" t="s">
        <v>3501</v>
      </c>
      <c r="H26" s="12" t="s">
        <v>1346</v>
      </c>
      <c r="I26" s="12" t="s">
        <v>3474</v>
      </c>
      <c r="J26" s="12" t="n">
        <v>34169</v>
      </c>
      <c r="K26" s="12"/>
    </row>
    <row r="27" customFormat="false" ht="15" hidden="false" customHeight="false" outlineLevel="0" collapsed="false">
      <c r="A27" s="12" t="s">
        <v>653</v>
      </c>
      <c r="B27" s="12" t="s">
        <v>1822</v>
      </c>
      <c r="C27" s="12" t="s">
        <v>3482</v>
      </c>
      <c r="D27" s="12" t="s">
        <v>232</v>
      </c>
      <c r="E27" s="12" t="s">
        <v>232</v>
      </c>
      <c r="F27" s="12" t="s">
        <v>3492</v>
      </c>
      <c r="G27" s="12" t="s">
        <v>3492</v>
      </c>
      <c r="H27" s="12" t="s">
        <v>853</v>
      </c>
      <c r="I27" s="12" t="s">
        <v>3474</v>
      </c>
      <c r="J27" s="12" t="n">
        <v>19620723</v>
      </c>
      <c r="K27" s="12"/>
    </row>
    <row r="28" customFormat="false" ht="15" hidden="false" customHeight="false" outlineLevel="0" collapsed="false">
      <c r="A28" s="12" t="s">
        <v>653</v>
      </c>
      <c r="B28" s="12" t="s">
        <v>1822</v>
      </c>
      <c r="C28" s="12" t="s">
        <v>3482</v>
      </c>
      <c r="D28" s="12" t="s">
        <v>232</v>
      </c>
      <c r="E28" s="12" t="s">
        <v>232</v>
      </c>
      <c r="F28" s="12" t="s">
        <v>3502</v>
      </c>
      <c r="G28" s="12" t="s">
        <v>3502</v>
      </c>
      <c r="H28" s="12" t="s">
        <v>1346</v>
      </c>
      <c r="I28" s="12" t="s">
        <v>3474</v>
      </c>
      <c r="J28" s="12" t="n">
        <v>9</v>
      </c>
      <c r="K28" s="12"/>
    </row>
    <row r="29" customFormat="false" ht="15" hidden="false" customHeight="false" outlineLevel="0" collapsed="false">
      <c r="A29" s="12" t="s">
        <v>653</v>
      </c>
      <c r="B29" s="12" t="s">
        <v>1822</v>
      </c>
      <c r="C29" s="12" t="s">
        <v>3482</v>
      </c>
      <c r="D29" s="12" t="s">
        <v>232</v>
      </c>
      <c r="E29" s="12" t="s">
        <v>232</v>
      </c>
      <c r="F29" s="12" t="s">
        <v>3496</v>
      </c>
      <c r="G29" s="12" t="s">
        <v>3496</v>
      </c>
      <c r="H29" s="12"/>
      <c r="I29" s="12" t="s">
        <v>3474</v>
      </c>
      <c r="J29" s="12" t="n">
        <v>4</v>
      </c>
      <c r="K29" s="12" t="s">
        <v>3503</v>
      </c>
    </row>
    <row r="30" customFormat="false" ht="15" hidden="false" customHeight="false" outlineLevel="0" collapsed="false">
      <c r="A30" s="12" t="s">
        <v>653</v>
      </c>
      <c r="B30" s="12" t="s">
        <v>1822</v>
      </c>
      <c r="C30" s="12" t="s">
        <v>3482</v>
      </c>
      <c r="D30" s="12" t="s">
        <v>3481</v>
      </c>
      <c r="E30" s="12" t="s">
        <v>3478</v>
      </c>
      <c r="F30" s="12" t="s">
        <v>3504</v>
      </c>
      <c r="G30" s="12" t="s">
        <v>3481</v>
      </c>
      <c r="H30" s="12" t="s">
        <v>848</v>
      </c>
      <c r="I30" s="12" t="s">
        <v>3474</v>
      </c>
      <c r="J30" s="12" t="n">
        <v>12620500</v>
      </c>
      <c r="K30" s="12" t="s">
        <v>3483</v>
      </c>
    </row>
    <row r="31" customFormat="false" ht="15" hidden="false" customHeight="false" outlineLevel="0" collapsed="false">
      <c r="A31" s="12" t="s">
        <v>3505</v>
      </c>
      <c r="B31" s="12" t="s">
        <v>1634</v>
      </c>
      <c r="C31" s="12" t="s">
        <v>107</v>
      </c>
      <c r="D31" s="12"/>
      <c r="E31" s="12"/>
      <c r="F31" s="12"/>
      <c r="G31" s="12"/>
      <c r="H31" s="12" t="s">
        <v>143</v>
      </c>
      <c r="I31" s="12" t="s">
        <v>3473</v>
      </c>
      <c r="J31" s="12" t="n">
        <v>21</v>
      </c>
      <c r="K31" s="12" t="s">
        <v>3506</v>
      </c>
    </row>
    <row r="32" customFormat="false" ht="15" hidden="false" customHeight="false" outlineLevel="0" collapsed="false">
      <c r="A32" s="12" t="s">
        <v>3505</v>
      </c>
      <c r="B32" s="12" t="s">
        <v>1634</v>
      </c>
      <c r="C32" s="12" t="s">
        <v>107</v>
      </c>
      <c r="D32" s="12"/>
      <c r="E32" s="12"/>
      <c r="F32" s="12"/>
      <c r="G32" s="12"/>
      <c r="H32" s="12" t="s">
        <v>143</v>
      </c>
      <c r="I32" s="12" t="s">
        <v>3474</v>
      </c>
      <c r="J32" s="12" t="n">
        <v>103772193</v>
      </c>
      <c r="K32" s="12" t="s">
        <v>3506</v>
      </c>
    </row>
    <row r="33" customFormat="false" ht="15" hidden="false" customHeight="false" outlineLevel="0" collapsed="false">
      <c r="A33" s="12" t="s">
        <v>3505</v>
      </c>
      <c r="B33" s="12" t="s">
        <v>1634</v>
      </c>
      <c r="C33" s="12" t="s">
        <v>107</v>
      </c>
      <c r="D33" s="12"/>
      <c r="E33" s="12"/>
      <c r="F33" s="12"/>
      <c r="G33" s="12"/>
      <c r="H33" s="12" t="s">
        <v>143</v>
      </c>
      <c r="I33" s="12" t="s">
        <v>3475</v>
      </c>
      <c r="J33" s="12" t="n">
        <v>10</v>
      </c>
      <c r="K33" s="12" t="s">
        <v>3506</v>
      </c>
    </row>
    <row r="34" customFormat="false" ht="15" hidden="false" customHeight="false" outlineLevel="0" collapsed="false">
      <c r="A34" s="12" t="s">
        <v>3505</v>
      </c>
      <c r="B34" s="12" t="s">
        <v>1634</v>
      </c>
      <c r="C34" s="12" t="s">
        <v>107</v>
      </c>
      <c r="D34" s="12"/>
      <c r="E34" s="12"/>
      <c r="F34" s="12"/>
      <c r="G34" s="12"/>
      <c r="H34" s="12" t="s">
        <v>143</v>
      </c>
      <c r="I34" s="12" t="s">
        <v>3507</v>
      </c>
      <c r="J34" s="12" t="n">
        <v>4</v>
      </c>
      <c r="K34" s="12" t="s">
        <v>3506</v>
      </c>
    </row>
    <row r="35" customFormat="false" ht="15" hidden="false" customHeight="false" outlineLevel="0" collapsed="false">
      <c r="A35" s="12" t="s">
        <v>3505</v>
      </c>
      <c r="B35" s="12" t="s">
        <v>1634</v>
      </c>
      <c r="C35" s="12" t="s">
        <v>107</v>
      </c>
      <c r="D35" s="12"/>
      <c r="E35" s="12"/>
      <c r="F35" s="12"/>
      <c r="G35" s="12"/>
      <c r="H35" s="12" t="s">
        <v>143</v>
      </c>
      <c r="I35" s="12" t="s">
        <v>3476</v>
      </c>
      <c r="J35" s="12" t="n">
        <v>6</v>
      </c>
      <c r="K35" s="12" t="s">
        <v>3506</v>
      </c>
    </row>
    <row r="36" customFormat="false" ht="15" hidden="false" customHeight="false" outlineLevel="0" collapsed="false">
      <c r="A36" s="12" t="s">
        <v>3505</v>
      </c>
      <c r="B36" s="12" t="s">
        <v>1634</v>
      </c>
      <c r="C36" s="12" t="s">
        <v>107</v>
      </c>
      <c r="D36" s="12"/>
      <c r="E36" s="12"/>
      <c r="F36" s="12"/>
      <c r="G36" s="12"/>
      <c r="H36" s="12" t="s">
        <v>143</v>
      </c>
      <c r="I36" s="12" t="s">
        <v>3508</v>
      </c>
      <c r="J36" s="12" t="n">
        <v>363602368</v>
      </c>
      <c r="K36" s="12" t="s">
        <v>3506</v>
      </c>
    </row>
    <row r="37" customFormat="false" ht="15" hidden="false" customHeight="false" outlineLevel="0" collapsed="false">
      <c r="A37" s="12" t="s">
        <v>164</v>
      </c>
      <c r="B37" s="12" t="s">
        <v>1390</v>
      </c>
      <c r="C37" s="12" t="s">
        <v>107</v>
      </c>
      <c r="D37" s="12"/>
      <c r="E37" s="12"/>
      <c r="F37" s="12"/>
      <c r="G37" s="12"/>
      <c r="H37" s="12" t="s">
        <v>143</v>
      </c>
      <c r="I37" s="12" t="s">
        <v>3473</v>
      </c>
      <c r="J37" s="12" t="n">
        <v>22</v>
      </c>
      <c r="K37" s="12"/>
    </row>
    <row r="38" customFormat="false" ht="15" hidden="false" customHeight="false" outlineLevel="0" collapsed="false">
      <c r="A38" s="12" t="s">
        <v>164</v>
      </c>
      <c r="B38" s="12" t="s">
        <v>1390</v>
      </c>
      <c r="C38" s="12" t="s">
        <v>107</v>
      </c>
      <c r="D38" s="12"/>
      <c r="E38" s="12"/>
      <c r="F38" s="12"/>
      <c r="G38" s="12"/>
      <c r="H38" s="12" t="s">
        <v>143</v>
      </c>
      <c r="I38" s="12" t="s">
        <v>3474</v>
      </c>
      <c r="J38" s="12" t="n">
        <v>112546175</v>
      </c>
      <c r="K38" s="12"/>
    </row>
    <row r="39" customFormat="false" ht="15" hidden="false" customHeight="false" outlineLevel="0" collapsed="false">
      <c r="A39" s="12" t="s">
        <v>164</v>
      </c>
      <c r="B39" s="12" t="s">
        <v>1390</v>
      </c>
      <c r="C39" s="12" t="s">
        <v>107</v>
      </c>
      <c r="D39" s="12"/>
      <c r="E39" s="12"/>
      <c r="F39" s="12"/>
      <c r="G39" s="12"/>
      <c r="H39" s="12" t="s">
        <v>143</v>
      </c>
      <c r="I39" s="12" t="s">
        <v>3475</v>
      </c>
      <c r="J39" s="12" t="n">
        <v>12</v>
      </c>
      <c r="K39" s="12"/>
    </row>
    <row r="40" customFormat="false" ht="15" hidden="false" customHeight="false" outlineLevel="0" collapsed="false">
      <c r="A40" s="12" t="s">
        <v>164</v>
      </c>
      <c r="B40" s="12" t="s">
        <v>1390</v>
      </c>
      <c r="C40" s="12" t="s">
        <v>107</v>
      </c>
      <c r="D40" s="12"/>
      <c r="E40" s="12"/>
      <c r="F40" s="12"/>
      <c r="G40" s="12"/>
      <c r="H40" s="12" t="s">
        <v>143</v>
      </c>
      <c r="I40" s="12" t="s">
        <v>3507</v>
      </c>
      <c r="J40" s="12" t="n">
        <v>4</v>
      </c>
      <c r="K40" s="12"/>
    </row>
    <row r="41" customFormat="false" ht="15" hidden="false" customHeight="false" outlineLevel="0" collapsed="false">
      <c r="A41" s="12" t="s">
        <v>164</v>
      </c>
      <c r="B41" s="12" t="s">
        <v>1390</v>
      </c>
      <c r="C41" s="12" t="s">
        <v>107</v>
      </c>
      <c r="D41" s="12"/>
      <c r="E41" s="12"/>
      <c r="F41" s="12"/>
      <c r="G41" s="12"/>
      <c r="H41" s="12" t="s">
        <v>143</v>
      </c>
      <c r="I41" s="12" t="s">
        <v>3476</v>
      </c>
      <c r="J41" s="12" t="n">
        <v>6</v>
      </c>
      <c r="K41" s="12"/>
    </row>
    <row r="42" customFormat="false" ht="15" hidden="false" customHeight="false" outlineLevel="0" collapsed="false">
      <c r="A42" s="12" t="s">
        <v>164</v>
      </c>
      <c r="B42" s="12" t="s">
        <v>1390</v>
      </c>
      <c r="C42" s="12" t="s">
        <v>107</v>
      </c>
      <c r="D42" s="12"/>
      <c r="E42" s="12"/>
      <c r="F42" s="12"/>
      <c r="G42" s="12"/>
      <c r="H42" s="12" t="s">
        <v>143</v>
      </c>
      <c r="I42" s="12" t="s">
        <v>3508</v>
      </c>
      <c r="J42" s="12" t="n">
        <v>471359890</v>
      </c>
      <c r="K42" s="12"/>
    </row>
    <row r="43" customFormat="false" ht="15" hidden="false" customHeight="false" outlineLevel="0" collapsed="false">
      <c r="A43" s="12" t="s">
        <v>164</v>
      </c>
      <c r="B43" s="12" t="s">
        <v>1390</v>
      </c>
      <c r="C43" s="12" t="s">
        <v>3482</v>
      </c>
      <c r="D43" s="12" t="s">
        <v>3477</v>
      </c>
      <c r="E43" s="12" t="s">
        <v>3478</v>
      </c>
      <c r="F43" s="12" t="s">
        <v>3477</v>
      </c>
      <c r="G43" s="12" t="s">
        <v>3477</v>
      </c>
      <c r="H43" s="12" t="s">
        <v>562</v>
      </c>
      <c r="I43" s="12" t="s">
        <v>3474</v>
      </c>
      <c r="J43" s="12" t="n">
        <v>21071556</v>
      </c>
      <c r="K43" s="12"/>
    </row>
    <row r="44" customFormat="false" ht="15" hidden="false" customHeight="false" outlineLevel="0" collapsed="false">
      <c r="A44" s="12" t="s">
        <v>164</v>
      </c>
      <c r="B44" s="12" t="s">
        <v>1390</v>
      </c>
      <c r="C44" s="12" t="s">
        <v>3482</v>
      </c>
      <c r="D44" s="12" t="s">
        <v>3477</v>
      </c>
      <c r="E44" s="12" t="s">
        <v>3478</v>
      </c>
      <c r="F44" s="12" t="s">
        <v>3477</v>
      </c>
      <c r="G44" s="12" t="s">
        <v>3477</v>
      </c>
      <c r="H44" s="12" t="s">
        <v>562</v>
      </c>
      <c r="I44" s="12" t="s">
        <v>3509</v>
      </c>
      <c r="J44" s="12" t="n">
        <v>0</v>
      </c>
      <c r="K44" s="12" t="s">
        <v>3510</v>
      </c>
    </row>
    <row r="45" customFormat="false" ht="15" hidden="false" customHeight="false" outlineLevel="0" collapsed="false">
      <c r="A45" s="12" t="s">
        <v>164</v>
      </c>
      <c r="B45" s="12" t="s">
        <v>1390</v>
      </c>
      <c r="C45" s="12" t="s">
        <v>3482</v>
      </c>
      <c r="D45" s="12" t="s">
        <v>3477</v>
      </c>
      <c r="E45" s="12" t="s">
        <v>3478</v>
      </c>
      <c r="F45" s="12" t="s">
        <v>3477</v>
      </c>
      <c r="G45" s="12" t="s">
        <v>3477</v>
      </c>
      <c r="H45" s="12" t="s">
        <v>562</v>
      </c>
      <c r="I45" s="12" t="s">
        <v>3508</v>
      </c>
      <c r="J45" s="12" t="n">
        <v>85261</v>
      </c>
      <c r="K45" s="12" t="s">
        <v>3511</v>
      </c>
    </row>
    <row r="46" customFormat="false" ht="15" hidden="false" customHeight="false" outlineLevel="0" collapsed="false">
      <c r="A46" s="12" t="s">
        <v>164</v>
      </c>
      <c r="B46" s="12" t="s">
        <v>1390</v>
      </c>
      <c r="C46" s="12" t="s">
        <v>3482</v>
      </c>
      <c r="D46" s="12" t="s">
        <v>3478</v>
      </c>
      <c r="E46" s="12" t="s">
        <v>3478</v>
      </c>
      <c r="F46" s="12" t="s">
        <v>3484</v>
      </c>
      <c r="G46" s="12" t="s">
        <v>3484</v>
      </c>
      <c r="H46" s="12" t="s">
        <v>721</v>
      </c>
      <c r="I46" s="12" t="s">
        <v>3474</v>
      </c>
      <c r="J46" s="12" t="n">
        <v>7277</v>
      </c>
      <c r="K46" s="12"/>
    </row>
    <row r="47" customFormat="false" ht="15" hidden="false" customHeight="false" outlineLevel="0" collapsed="false">
      <c r="A47" s="12" t="s">
        <v>164</v>
      </c>
      <c r="B47" s="12" t="s">
        <v>1390</v>
      </c>
      <c r="C47" s="12" t="s">
        <v>3482</v>
      </c>
      <c r="D47" s="12" t="s">
        <v>3478</v>
      </c>
      <c r="E47" s="12" t="s">
        <v>3478</v>
      </c>
      <c r="F47" s="12" t="s">
        <v>3484</v>
      </c>
      <c r="G47" s="12" t="s">
        <v>3484</v>
      </c>
      <c r="H47" s="12" t="s">
        <v>721</v>
      </c>
      <c r="I47" s="12" t="s">
        <v>3509</v>
      </c>
      <c r="J47" s="12" t="n">
        <v>0</v>
      </c>
      <c r="K47" s="12" t="s">
        <v>3512</v>
      </c>
    </row>
    <row r="48" customFormat="false" ht="15" hidden="false" customHeight="false" outlineLevel="0" collapsed="false">
      <c r="A48" s="12" t="s">
        <v>164</v>
      </c>
      <c r="B48" s="12" t="s">
        <v>1390</v>
      </c>
      <c r="C48" s="12" t="s">
        <v>3482</v>
      </c>
      <c r="D48" s="12" t="s">
        <v>3478</v>
      </c>
      <c r="E48" s="12" t="s">
        <v>3478</v>
      </c>
      <c r="F48" s="12" t="s">
        <v>3484</v>
      </c>
      <c r="G48" s="12" t="s">
        <v>3484</v>
      </c>
      <c r="H48" s="12" t="s">
        <v>721</v>
      </c>
      <c r="I48" s="12" t="s">
        <v>3508</v>
      </c>
      <c r="J48" s="12" t="n">
        <v>103</v>
      </c>
      <c r="K48" s="12"/>
    </row>
    <row r="49" customFormat="false" ht="15" hidden="false" customHeight="false" outlineLevel="0" collapsed="false">
      <c r="A49" s="12" t="s">
        <v>164</v>
      </c>
      <c r="B49" s="12" t="s">
        <v>1390</v>
      </c>
      <c r="C49" s="12" t="s">
        <v>3482</v>
      </c>
      <c r="D49" s="12" t="s">
        <v>3478</v>
      </c>
      <c r="E49" s="12" t="s">
        <v>3478</v>
      </c>
      <c r="F49" s="12" t="s">
        <v>3513</v>
      </c>
      <c r="G49" s="12" t="s">
        <v>3513</v>
      </c>
      <c r="H49" s="12" t="s">
        <v>964</v>
      </c>
      <c r="I49" s="12" t="s">
        <v>3474</v>
      </c>
      <c r="J49" s="12" t="n">
        <v>31749</v>
      </c>
      <c r="K49" s="12"/>
    </row>
    <row r="50" customFormat="false" ht="15" hidden="false" customHeight="false" outlineLevel="0" collapsed="false">
      <c r="A50" s="12" t="s">
        <v>164</v>
      </c>
      <c r="B50" s="12" t="s">
        <v>1390</v>
      </c>
      <c r="C50" s="12" t="s">
        <v>3482</v>
      </c>
      <c r="D50" s="12" t="s">
        <v>3478</v>
      </c>
      <c r="E50" s="12" t="s">
        <v>3478</v>
      </c>
      <c r="F50" s="12" t="s">
        <v>3513</v>
      </c>
      <c r="G50" s="12" t="s">
        <v>3513</v>
      </c>
      <c r="H50" s="12" t="s">
        <v>964</v>
      </c>
      <c r="I50" s="12" t="s">
        <v>3509</v>
      </c>
      <c r="J50" s="12" t="n">
        <v>23</v>
      </c>
      <c r="K50" s="12" t="s">
        <v>3512</v>
      </c>
    </row>
    <row r="51" customFormat="false" ht="15" hidden="false" customHeight="false" outlineLevel="0" collapsed="false">
      <c r="A51" s="12" t="s">
        <v>164</v>
      </c>
      <c r="B51" s="12" t="s">
        <v>1390</v>
      </c>
      <c r="C51" s="12" t="s">
        <v>3482</v>
      </c>
      <c r="D51" s="12" t="s">
        <v>3478</v>
      </c>
      <c r="E51" s="12" t="s">
        <v>3478</v>
      </c>
      <c r="F51" s="12" t="s">
        <v>3513</v>
      </c>
      <c r="G51" s="12" t="s">
        <v>3513</v>
      </c>
      <c r="H51" s="12" t="s">
        <v>964</v>
      </c>
      <c r="I51" s="12" t="s">
        <v>3508</v>
      </c>
      <c r="J51" s="12" t="n">
        <v>6324</v>
      </c>
      <c r="K51" s="12"/>
    </row>
    <row r="52" customFormat="false" ht="15" hidden="false" customHeight="false" outlineLevel="0" collapsed="false">
      <c r="A52" s="12" t="s">
        <v>164</v>
      </c>
      <c r="B52" s="12" t="s">
        <v>1390</v>
      </c>
      <c r="C52" s="12" t="s">
        <v>3482</v>
      </c>
      <c r="D52" s="12" t="s">
        <v>3478</v>
      </c>
      <c r="E52" s="12" t="s">
        <v>3478</v>
      </c>
      <c r="F52" s="12" t="s">
        <v>3514</v>
      </c>
      <c r="G52" s="12" t="s">
        <v>3514</v>
      </c>
      <c r="H52" s="12" t="s">
        <v>969</v>
      </c>
      <c r="I52" s="12" t="s">
        <v>3474</v>
      </c>
      <c r="J52" s="12" t="n">
        <v>202444</v>
      </c>
      <c r="K52" s="12"/>
    </row>
    <row r="53" customFormat="false" ht="15" hidden="false" customHeight="false" outlineLevel="0" collapsed="false">
      <c r="A53" s="12" t="s">
        <v>164</v>
      </c>
      <c r="B53" s="12" t="s">
        <v>1390</v>
      </c>
      <c r="C53" s="12" t="s">
        <v>3482</v>
      </c>
      <c r="D53" s="12" t="s">
        <v>3478</v>
      </c>
      <c r="E53" s="12" t="s">
        <v>3478</v>
      </c>
      <c r="F53" s="12" t="s">
        <v>3514</v>
      </c>
      <c r="G53" s="12" t="s">
        <v>3514</v>
      </c>
      <c r="H53" s="12" t="s">
        <v>969</v>
      </c>
      <c r="I53" s="12" t="s">
        <v>3509</v>
      </c>
      <c r="J53" s="12" t="n">
        <v>0</v>
      </c>
      <c r="K53" s="12" t="s">
        <v>3512</v>
      </c>
    </row>
    <row r="54" customFormat="false" ht="15" hidden="false" customHeight="false" outlineLevel="0" collapsed="false">
      <c r="A54" s="12" t="s">
        <v>164</v>
      </c>
      <c r="B54" s="12" t="s">
        <v>1390</v>
      </c>
      <c r="C54" s="12" t="s">
        <v>3482</v>
      </c>
      <c r="D54" s="12" t="s">
        <v>3478</v>
      </c>
      <c r="E54" s="12" t="s">
        <v>3478</v>
      </c>
      <c r="F54" s="12" t="s">
        <v>3514</v>
      </c>
      <c r="G54" s="12" t="s">
        <v>3514</v>
      </c>
      <c r="H54" s="12" t="s">
        <v>969</v>
      </c>
      <c r="I54" s="12" t="s">
        <v>3508</v>
      </c>
      <c r="J54" s="12" t="n">
        <v>10783</v>
      </c>
      <c r="K54" s="12"/>
    </row>
    <row r="55" customFormat="false" ht="15" hidden="false" customHeight="false" outlineLevel="0" collapsed="false">
      <c r="A55" s="12" t="s">
        <v>164</v>
      </c>
      <c r="B55" s="12" t="s">
        <v>1390</v>
      </c>
      <c r="C55" s="12" t="s">
        <v>3482</v>
      </c>
      <c r="D55" s="12" t="s">
        <v>3478</v>
      </c>
      <c r="E55" s="12" t="s">
        <v>3478</v>
      </c>
      <c r="F55" s="12" t="s">
        <v>3485</v>
      </c>
      <c r="G55" s="12" t="s">
        <v>3485</v>
      </c>
      <c r="H55" s="12" t="s">
        <v>1018</v>
      </c>
      <c r="I55" s="12" t="s">
        <v>3474</v>
      </c>
      <c r="J55" s="12" t="n">
        <v>79614</v>
      </c>
      <c r="K55" s="12"/>
    </row>
    <row r="56" customFormat="false" ht="15" hidden="false" customHeight="false" outlineLevel="0" collapsed="false">
      <c r="A56" s="12" t="s">
        <v>164</v>
      </c>
      <c r="B56" s="12" t="s">
        <v>1390</v>
      </c>
      <c r="C56" s="12" t="s">
        <v>3482</v>
      </c>
      <c r="D56" s="12" t="s">
        <v>3478</v>
      </c>
      <c r="E56" s="12" t="s">
        <v>3478</v>
      </c>
      <c r="F56" s="12" t="s">
        <v>3485</v>
      </c>
      <c r="G56" s="12" t="s">
        <v>3485</v>
      </c>
      <c r="H56" s="12" t="s">
        <v>1018</v>
      </c>
      <c r="I56" s="12" t="s">
        <v>3509</v>
      </c>
      <c r="J56" s="12" t="n">
        <v>0</v>
      </c>
      <c r="K56" s="12" t="s">
        <v>3512</v>
      </c>
    </row>
    <row r="57" customFormat="false" ht="15" hidden="false" customHeight="false" outlineLevel="0" collapsed="false">
      <c r="A57" s="12" t="s">
        <v>164</v>
      </c>
      <c r="B57" s="12" t="s">
        <v>1390</v>
      </c>
      <c r="C57" s="12" t="s">
        <v>3482</v>
      </c>
      <c r="D57" s="12" t="s">
        <v>3478</v>
      </c>
      <c r="E57" s="12" t="s">
        <v>3478</v>
      </c>
      <c r="F57" s="12" t="s">
        <v>3485</v>
      </c>
      <c r="G57" s="12" t="s">
        <v>3485</v>
      </c>
      <c r="H57" s="12" t="s">
        <v>1018</v>
      </c>
      <c r="I57" s="12" t="s">
        <v>3508</v>
      </c>
      <c r="J57" s="12" t="n">
        <v>59</v>
      </c>
      <c r="K57" s="12"/>
    </row>
    <row r="58" customFormat="false" ht="15" hidden="false" customHeight="false" outlineLevel="0" collapsed="false">
      <c r="A58" s="12" t="s">
        <v>164</v>
      </c>
      <c r="B58" s="12" t="s">
        <v>1390</v>
      </c>
      <c r="C58" s="12" t="s">
        <v>3482</v>
      </c>
      <c r="D58" s="12" t="s">
        <v>224</v>
      </c>
      <c r="E58" s="12" t="s">
        <v>224</v>
      </c>
      <c r="F58" s="12" t="s">
        <v>3489</v>
      </c>
      <c r="G58" s="12" t="s">
        <v>3489</v>
      </c>
      <c r="H58" s="12" t="s">
        <v>1268</v>
      </c>
      <c r="I58" s="12" t="s">
        <v>3474</v>
      </c>
      <c r="J58" s="12" t="n">
        <v>816543</v>
      </c>
      <c r="K58" s="12"/>
    </row>
    <row r="59" customFormat="false" ht="15" hidden="false" customHeight="false" outlineLevel="0" collapsed="false">
      <c r="A59" s="12" t="s">
        <v>164</v>
      </c>
      <c r="B59" s="12" t="s">
        <v>1390</v>
      </c>
      <c r="C59" s="12" t="s">
        <v>3482</v>
      </c>
      <c r="D59" s="12" t="s">
        <v>224</v>
      </c>
      <c r="E59" s="12" t="s">
        <v>224</v>
      </c>
      <c r="F59" s="12" t="s">
        <v>3489</v>
      </c>
      <c r="G59" s="12" t="s">
        <v>3489</v>
      </c>
      <c r="H59" s="12" t="s">
        <v>1268</v>
      </c>
      <c r="I59" s="12" t="s">
        <v>3509</v>
      </c>
      <c r="J59" s="12" t="n">
        <v>747</v>
      </c>
      <c r="K59" s="12" t="s">
        <v>3512</v>
      </c>
    </row>
    <row r="60" customFormat="false" ht="15" hidden="false" customHeight="false" outlineLevel="0" collapsed="false">
      <c r="A60" s="12" t="s">
        <v>164</v>
      </c>
      <c r="B60" s="12" t="s">
        <v>1390</v>
      </c>
      <c r="C60" s="12" t="s">
        <v>3482</v>
      </c>
      <c r="D60" s="12" t="s">
        <v>224</v>
      </c>
      <c r="E60" s="12" t="s">
        <v>224</v>
      </c>
      <c r="F60" s="12" t="s">
        <v>3489</v>
      </c>
      <c r="G60" s="12" t="s">
        <v>3489</v>
      </c>
      <c r="H60" s="12" t="s">
        <v>1268</v>
      </c>
      <c r="I60" s="12" t="s">
        <v>3508</v>
      </c>
      <c r="J60" s="12" t="n">
        <v>153834</v>
      </c>
      <c r="K60" s="12"/>
    </row>
    <row r="61" customFormat="false" ht="15" hidden="false" customHeight="false" outlineLevel="0" collapsed="false">
      <c r="A61" s="12" t="s">
        <v>164</v>
      </c>
      <c r="B61" s="12" t="s">
        <v>1390</v>
      </c>
      <c r="C61" s="12" t="s">
        <v>3482</v>
      </c>
      <c r="D61" s="12" t="s">
        <v>224</v>
      </c>
      <c r="E61" s="12" t="s">
        <v>224</v>
      </c>
      <c r="F61" s="12" t="s">
        <v>3490</v>
      </c>
      <c r="G61" s="12" t="s">
        <v>3490</v>
      </c>
      <c r="H61" s="12" t="s">
        <v>837</v>
      </c>
      <c r="I61" s="12" t="s">
        <v>3474</v>
      </c>
      <c r="J61" s="12" t="n">
        <v>6766802</v>
      </c>
      <c r="K61" s="12"/>
    </row>
    <row r="62" customFormat="false" ht="15" hidden="false" customHeight="false" outlineLevel="0" collapsed="false">
      <c r="A62" s="12" t="s">
        <v>164</v>
      </c>
      <c r="B62" s="12" t="s">
        <v>1390</v>
      </c>
      <c r="C62" s="12" t="s">
        <v>3482</v>
      </c>
      <c r="D62" s="12" t="s">
        <v>224</v>
      </c>
      <c r="E62" s="12" t="s">
        <v>224</v>
      </c>
      <c r="F62" s="12" t="s">
        <v>3490</v>
      </c>
      <c r="G62" s="12" t="s">
        <v>3490</v>
      </c>
      <c r="H62" s="12" t="s">
        <v>837</v>
      </c>
      <c r="I62" s="12" t="s">
        <v>3509</v>
      </c>
      <c r="J62" s="12" t="n">
        <v>0</v>
      </c>
      <c r="K62" s="12" t="s">
        <v>3512</v>
      </c>
    </row>
    <row r="63" customFormat="false" ht="15" hidden="false" customHeight="false" outlineLevel="0" collapsed="false">
      <c r="A63" s="12" t="s">
        <v>164</v>
      </c>
      <c r="B63" s="12" t="s">
        <v>1390</v>
      </c>
      <c r="C63" s="12" t="s">
        <v>3482</v>
      </c>
      <c r="D63" s="12" t="s">
        <v>224</v>
      </c>
      <c r="E63" s="12" t="s">
        <v>224</v>
      </c>
      <c r="F63" s="12" t="s">
        <v>3490</v>
      </c>
      <c r="G63" s="12" t="s">
        <v>3490</v>
      </c>
      <c r="H63" s="12" t="s">
        <v>837</v>
      </c>
      <c r="I63" s="12" t="s">
        <v>3508</v>
      </c>
      <c r="J63" s="12" t="n">
        <v>37</v>
      </c>
      <c r="K63" s="12"/>
    </row>
    <row r="64" customFormat="false" ht="15" hidden="false" customHeight="false" outlineLevel="0" collapsed="false">
      <c r="A64" s="12" t="s">
        <v>164</v>
      </c>
      <c r="B64" s="12" t="s">
        <v>1390</v>
      </c>
      <c r="C64" s="12" t="s">
        <v>3482</v>
      </c>
      <c r="D64" s="12" t="s">
        <v>224</v>
      </c>
      <c r="E64" s="12" t="s">
        <v>224</v>
      </c>
      <c r="F64" s="12" t="s">
        <v>3492</v>
      </c>
      <c r="G64" s="12" t="s">
        <v>3492</v>
      </c>
      <c r="H64" s="12" t="s">
        <v>843</v>
      </c>
      <c r="I64" s="12" t="s">
        <v>3474</v>
      </c>
      <c r="J64" s="12" t="n">
        <v>42230722</v>
      </c>
      <c r="K64" s="12"/>
    </row>
    <row r="65" customFormat="false" ht="15" hidden="false" customHeight="false" outlineLevel="0" collapsed="false">
      <c r="A65" s="12" t="s">
        <v>164</v>
      </c>
      <c r="B65" s="12" t="s">
        <v>1390</v>
      </c>
      <c r="C65" s="12" t="s">
        <v>3482</v>
      </c>
      <c r="D65" s="12" t="s">
        <v>224</v>
      </c>
      <c r="E65" s="12" t="s">
        <v>224</v>
      </c>
      <c r="F65" s="12" t="s">
        <v>3492</v>
      </c>
      <c r="G65" s="12" t="s">
        <v>3492</v>
      </c>
      <c r="H65" s="12" t="s">
        <v>843</v>
      </c>
      <c r="I65" s="12" t="s">
        <v>3509</v>
      </c>
      <c r="J65" s="12" t="n">
        <v>0</v>
      </c>
      <c r="K65" s="12" t="s">
        <v>3512</v>
      </c>
    </row>
    <row r="66" customFormat="false" ht="15" hidden="false" customHeight="false" outlineLevel="0" collapsed="false">
      <c r="A66" s="12" t="s">
        <v>164</v>
      </c>
      <c r="B66" s="12" t="s">
        <v>1390</v>
      </c>
      <c r="C66" s="12" t="s">
        <v>3482</v>
      </c>
      <c r="D66" s="12" t="s">
        <v>224</v>
      </c>
      <c r="E66" s="12" t="s">
        <v>224</v>
      </c>
      <c r="F66" s="12" t="s">
        <v>3492</v>
      </c>
      <c r="G66" s="12" t="s">
        <v>3492</v>
      </c>
      <c r="H66" s="12" t="s">
        <v>843</v>
      </c>
      <c r="I66" s="12" t="s">
        <v>3508</v>
      </c>
      <c r="J66" s="12" t="n">
        <v>2</v>
      </c>
      <c r="K66" s="12"/>
    </row>
    <row r="67" customFormat="false" ht="15" hidden="false" customHeight="false" outlineLevel="0" collapsed="false">
      <c r="A67" s="12" t="s">
        <v>164</v>
      </c>
      <c r="B67" s="12" t="s">
        <v>1390</v>
      </c>
      <c r="C67" s="12" t="s">
        <v>3482</v>
      </c>
      <c r="D67" s="12" t="s">
        <v>224</v>
      </c>
      <c r="E67" s="12" t="s">
        <v>224</v>
      </c>
      <c r="F67" s="12" t="s">
        <v>3515</v>
      </c>
      <c r="G67" s="12" t="s">
        <v>3515</v>
      </c>
      <c r="H67" s="12" t="s">
        <v>974</v>
      </c>
      <c r="I67" s="12" t="s">
        <v>3474</v>
      </c>
      <c r="J67" s="12" t="n">
        <v>968</v>
      </c>
      <c r="K67" s="12"/>
    </row>
    <row r="68" customFormat="false" ht="15" hidden="false" customHeight="false" outlineLevel="0" collapsed="false">
      <c r="A68" s="12" t="s">
        <v>164</v>
      </c>
      <c r="B68" s="12" t="s">
        <v>1390</v>
      </c>
      <c r="C68" s="12" t="s">
        <v>3482</v>
      </c>
      <c r="D68" s="12" t="s">
        <v>224</v>
      </c>
      <c r="E68" s="12" t="s">
        <v>224</v>
      </c>
      <c r="F68" s="12" t="s">
        <v>3515</v>
      </c>
      <c r="G68" s="12" t="s">
        <v>3515</v>
      </c>
      <c r="H68" s="12" t="s">
        <v>974</v>
      </c>
      <c r="I68" s="12" t="s">
        <v>3509</v>
      </c>
      <c r="J68" s="12" t="n">
        <v>0</v>
      </c>
      <c r="K68" s="12" t="s">
        <v>3512</v>
      </c>
    </row>
    <row r="69" customFormat="false" ht="15" hidden="false" customHeight="false" outlineLevel="0" collapsed="false">
      <c r="A69" s="12" t="s">
        <v>164</v>
      </c>
      <c r="B69" s="12" t="s">
        <v>1390</v>
      </c>
      <c r="C69" s="12" t="s">
        <v>3482</v>
      </c>
      <c r="D69" s="12" t="s">
        <v>224</v>
      </c>
      <c r="E69" s="12" t="s">
        <v>224</v>
      </c>
      <c r="F69" s="12" t="s">
        <v>3515</v>
      </c>
      <c r="G69" s="12" t="s">
        <v>3515</v>
      </c>
      <c r="H69" s="12" t="s">
        <v>974</v>
      </c>
      <c r="I69" s="12" t="s">
        <v>3508</v>
      </c>
      <c r="J69" s="12" t="n">
        <v>72</v>
      </c>
      <c r="K69" s="12"/>
    </row>
    <row r="70" customFormat="false" ht="15" hidden="false" customHeight="false" outlineLevel="0" collapsed="false">
      <c r="A70" s="12" t="s">
        <v>164</v>
      </c>
      <c r="B70" s="12" t="s">
        <v>1390</v>
      </c>
      <c r="C70" s="12" t="s">
        <v>3482</v>
      </c>
      <c r="D70" s="12" t="s">
        <v>224</v>
      </c>
      <c r="E70" s="12" t="s">
        <v>224</v>
      </c>
      <c r="F70" s="12" t="s">
        <v>3493</v>
      </c>
      <c r="G70" s="12" t="s">
        <v>3516</v>
      </c>
      <c r="H70" s="12" t="s">
        <v>265</v>
      </c>
      <c r="I70" s="12" t="s">
        <v>3474</v>
      </c>
      <c r="J70" s="12" t="n">
        <v>22709</v>
      </c>
      <c r="K70" s="12"/>
    </row>
    <row r="71" customFormat="false" ht="15" hidden="false" customHeight="false" outlineLevel="0" collapsed="false">
      <c r="A71" s="12" t="s">
        <v>164</v>
      </c>
      <c r="B71" s="12" t="s">
        <v>1390</v>
      </c>
      <c r="C71" s="12" t="s">
        <v>3482</v>
      </c>
      <c r="D71" s="12" t="s">
        <v>224</v>
      </c>
      <c r="E71" s="12" t="s">
        <v>224</v>
      </c>
      <c r="F71" s="12" t="s">
        <v>3493</v>
      </c>
      <c r="G71" s="12" t="s">
        <v>3516</v>
      </c>
      <c r="H71" s="12" t="s">
        <v>265</v>
      </c>
      <c r="I71" s="12" t="s">
        <v>3509</v>
      </c>
      <c r="J71" s="12" t="n">
        <v>0</v>
      </c>
      <c r="K71" s="12" t="s">
        <v>3512</v>
      </c>
    </row>
    <row r="72" customFormat="false" ht="15" hidden="false" customHeight="false" outlineLevel="0" collapsed="false">
      <c r="A72" s="12" t="s">
        <v>164</v>
      </c>
      <c r="B72" s="12" t="s">
        <v>1390</v>
      </c>
      <c r="C72" s="12" t="s">
        <v>3482</v>
      </c>
      <c r="D72" s="12" t="s">
        <v>224</v>
      </c>
      <c r="E72" s="12" t="s">
        <v>224</v>
      </c>
      <c r="F72" s="12" t="s">
        <v>3493</v>
      </c>
      <c r="G72" s="12" t="s">
        <v>3516</v>
      </c>
      <c r="H72" s="12" t="s">
        <v>265</v>
      </c>
      <c r="I72" s="12" t="s">
        <v>3508</v>
      </c>
      <c r="J72" s="12" t="n">
        <v>16</v>
      </c>
      <c r="K72" s="12"/>
    </row>
    <row r="73" customFormat="false" ht="15" hidden="false" customHeight="false" outlineLevel="0" collapsed="false">
      <c r="A73" s="12" t="s">
        <v>164</v>
      </c>
      <c r="B73" s="12" t="s">
        <v>1390</v>
      </c>
      <c r="C73" s="12" t="s">
        <v>3482</v>
      </c>
      <c r="D73" s="12" t="s">
        <v>224</v>
      </c>
      <c r="E73" s="12" t="s">
        <v>224</v>
      </c>
      <c r="F73" s="12" t="s">
        <v>274</v>
      </c>
      <c r="G73" s="12" t="s">
        <v>274</v>
      </c>
      <c r="H73" s="12" t="s">
        <v>271</v>
      </c>
      <c r="I73" s="12" t="s">
        <v>3474</v>
      </c>
      <c r="J73" s="12" t="n">
        <v>409</v>
      </c>
      <c r="K73" s="12"/>
    </row>
    <row r="74" customFormat="false" ht="15" hidden="false" customHeight="false" outlineLevel="0" collapsed="false">
      <c r="A74" s="12" t="s">
        <v>164</v>
      </c>
      <c r="B74" s="12" t="s">
        <v>1390</v>
      </c>
      <c r="C74" s="12" t="s">
        <v>3482</v>
      </c>
      <c r="D74" s="12" t="s">
        <v>224</v>
      </c>
      <c r="E74" s="12" t="s">
        <v>224</v>
      </c>
      <c r="F74" s="12" t="s">
        <v>274</v>
      </c>
      <c r="G74" s="12" t="s">
        <v>274</v>
      </c>
      <c r="H74" s="12" t="s">
        <v>271</v>
      </c>
      <c r="I74" s="12" t="s">
        <v>3509</v>
      </c>
      <c r="J74" s="12" t="n">
        <v>14</v>
      </c>
      <c r="K74" s="12" t="s">
        <v>3512</v>
      </c>
    </row>
    <row r="75" customFormat="false" ht="15" hidden="false" customHeight="false" outlineLevel="0" collapsed="false">
      <c r="A75" s="12" t="s">
        <v>164</v>
      </c>
      <c r="B75" s="12" t="s">
        <v>1390</v>
      </c>
      <c r="C75" s="12" t="s">
        <v>3482</v>
      </c>
      <c r="D75" s="12" t="s">
        <v>224</v>
      </c>
      <c r="E75" s="12" t="s">
        <v>224</v>
      </c>
      <c r="F75" s="12" t="s">
        <v>274</v>
      </c>
      <c r="G75" s="12" t="s">
        <v>274</v>
      </c>
      <c r="H75" s="12" t="s">
        <v>271</v>
      </c>
      <c r="I75" s="12" t="s">
        <v>3508</v>
      </c>
      <c r="J75" s="12" t="n">
        <v>24</v>
      </c>
      <c r="K75" s="12"/>
    </row>
    <row r="76" customFormat="false" ht="15" hidden="false" customHeight="false" outlineLevel="0" collapsed="false">
      <c r="A76" s="12" t="s">
        <v>164</v>
      </c>
      <c r="B76" s="12" t="s">
        <v>1390</v>
      </c>
      <c r="C76" s="12" t="s">
        <v>3482</v>
      </c>
      <c r="D76" s="12" t="s">
        <v>224</v>
      </c>
      <c r="E76" s="12" t="s">
        <v>224</v>
      </c>
      <c r="F76" s="12" t="s">
        <v>3494</v>
      </c>
      <c r="G76" s="12" t="s">
        <v>3517</v>
      </c>
      <c r="H76" s="12" t="s">
        <v>1299</v>
      </c>
      <c r="I76" s="12" t="s">
        <v>3474</v>
      </c>
      <c r="J76" s="12" t="n">
        <v>387616</v>
      </c>
      <c r="K76" s="12"/>
    </row>
    <row r="77" customFormat="false" ht="15" hidden="false" customHeight="false" outlineLevel="0" collapsed="false">
      <c r="A77" s="12" t="s">
        <v>164</v>
      </c>
      <c r="B77" s="12" t="s">
        <v>1390</v>
      </c>
      <c r="C77" s="12" t="s">
        <v>3482</v>
      </c>
      <c r="D77" s="12" t="s">
        <v>224</v>
      </c>
      <c r="E77" s="12" t="s">
        <v>224</v>
      </c>
      <c r="F77" s="12" t="s">
        <v>3494</v>
      </c>
      <c r="G77" s="12" t="s">
        <v>3517</v>
      </c>
      <c r="H77" s="12" t="s">
        <v>1299</v>
      </c>
      <c r="I77" s="12" t="s">
        <v>3509</v>
      </c>
      <c r="J77" s="12" t="n">
        <v>0</v>
      </c>
      <c r="K77" s="12" t="s">
        <v>3512</v>
      </c>
    </row>
    <row r="78" customFormat="false" ht="15" hidden="false" customHeight="false" outlineLevel="0" collapsed="false">
      <c r="A78" s="12" t="s">
        <v>164</v>
      </c>
      <c r="B78" s="12" t="s">
        <v>1390</v>
      </c>
      <c r="C78" s="12" t="s">
        <v>3482</v>
      </c>
      <c r="D78" s="12" t="s">
        <v>224</v>
      </c>
      <c r="E78" s="12" t="s">
        <v>224</v>
      </c>
      <c r="F78" s="12" t="s">
        <v>3494</v>
      </c>
      <c r="G78" s="12" t="s">
        <v>3517</v>
      </c>
      <c r="H78" s="12" t="s">
        <v>1299</v>
      </c>
      <c r="I78" s="12" t="s">
        <v>3508</v>
      </c>
      <c r="J78" s="12" t="n">
        <v>828</v>
      </c>
      <c r="K78" s="12"/>
    </row>
    <row r="79" customFormat="false" ht="15" hidden="false" customHeight="false" outlineLevel="0" collapsed="false">
      <c r="A79" s="12" t="s">
        <v>164</v>
      </c>
      <c r="B79" s="12" t="s">
        <v>1390</v>
      </c>
      <c r="C79" s="12" t="s">
        <v>3482</v>
      </c>
      <c r="D79" s="12" t="s">
        <v>224</v>
      </c>
      <c r="E79" s="12" t="s">
        <v>224</v>
      </c>
      <c r="F79" s="12" t="s">
        <v>3496</v>
      </c>
      <c r="G79" s="12" t="s">
        <v>3496</v>
      </c>
      <c r="H79" s="12" t="s">
        <v>1290</v>
      </c>
      <c r="I79" s="12" t="s">
        <v>3509</v>
      </c>
      <c r="J79" s="12" t="n">
        <v>0</v>
      </c>
      <c r="K79" s="12" t="s">
        <v>3512</v>
      </c>
    </row>
    <row r="80" customFormat="false" ht="15" hidden="false" customHeight="false" outlineLevel="0" collapsed="false">
      <c r="A80" s="12" t="s">
        <v>164</v>
      </c>
      <c r="B80" s="12" t="s">
        <v>1390</v>
      </c>
      <c r="C80" s="12" t="s">
        <v>3482</v>
      </c>
      <c r="D80" s="12" t="s">
        <v>224</v>
      </c>
      <c r="E80" s="12" t="s">
        <v>224</v>
      </c>
      <c r="F80" s="12" t="s">
        <v>3496</v>
      </c>
      <c r="G80" s="12" t="s">
        <v>3496</v>
      </c>
      <c r="H80" s="12" t="s">
        <v>1290</v>
      </c>
      <c r="I80" s="12" t="s">
        <v>3508</v>
      </c>
      <c r="J80" s="12" t="n">
        <v>15</v>
      </c>
      <c r="K80" s="12"/>
    </row>
    <row r="81" customFormat="false" ht="15" hidden="false" customHeight="false" outlineLevel="0" collapsed="false">
      <c r="A81" s="12" t="s">
        <v>164</v>
      </c>
      <c r="B81" s="12" t="s">
        <v>1390</v>
      </c>
      <c r="C81" s="12" t="s">
        <v>3482</v>
      </c>
      <c r="D81" s="12" t="s">
        <v>224</v>
      </c>
      <c r="E81" s="12" t="s">
        <v>224</v>
      </c>
      <c r="F81" s="12" t="s">
        <v>3518</v>
      </c>
      <c r="G81" s="12" t="s">
        <v>3519</v>
      </c>
      <c r="H81" s="12" t="s">
        <v>1228</v>
      </c>
      <c r="I81" s="12" t="s">
        <v>3474</v>
      </c>
      <c r="J81" s="12" t="n">
        <v>3465</v>
      </c>
      <c r="K81" s="12"/>
    </row>
    <row r="82" customFormat="false" ht="15" hidden="false" customHeight="false" outlineLevel="0" collapsed="false">
      <c r="A82" s="12" t="s">
        <v>164</v>
      </c>
      <c r="B82" s="12" t="s">
        <v>1390</v>
      </c>
      <c r="C82" s="12" t="s">
        <v>3482</v>
      </c>
      <c r="D82" s="12" t="s">
        <v>224</v>
      </c>
      <c r="E82" s="12" t="s">
        <v>224</v>
      </c>
      <c r="F82" s="12" t="s">
        <v>3518</v>
      </c>
      <c r="G82" s="12" t="s">
        <v>3519</v>
      </c>
      <c r="H82" s="12" t="s">
        <v>1228</v>
      </c>
      <c r="I82" s="12" t="s">
        <v>3509</v>
      </c>
      <c r="J82" s="12" t="n">
        <v>0</v>
      </c>
      <c r="K82" s="12" t="s">
        <v>3512</v>
      </c>
    </row>
    <row r="83" customFormat="false" ht="15" hidden="false" customHeight="false" outlineLevel="0" collapsed="false">
      <c r="A83" s="12" t="s">
        <v>164</v>
      </c>
      <c r="B83" s="12" t="s">
        <v>1390</v>
      </c>
      <c r="C83" s="12" t="s">
        <v>3482</v>
      </c>
      <c r="D83" s="12" t="s">
        <v>224</v>
      </c>
      <c r="E83" s="12" t="s">
        <v>224</v>
      </c>
      <c r="F83" s="12" t="s">
        <v>3518</v>
      </c>
      <c r="G83" s="12" t="s">
        <v>3519</v>
      </c>
      <c r="H83" s="12" t="s">
        <v>1228</v>
      </c>
      <c r="I83" s="12" t="s">
        <v>3508</v>
      </c>
      <c r="J83" s="12" t="n">
        <v>1</v>
      </c>
      <c r="K83" s="12"/>
    </row>
    <row r="84" customFormat="false" ht="15" hidden="false" customHeight="false" outlineLevel="0" collapsed="false">
      <c r="A84" s="12" t="s">
        <v>164</v>
      </c>
      <c r="B84" s="12" t="s">
        <v>1390</v>
      </c>
      <c r="C84" s="12" t="s">
        <v>3482</v>
      </c>
      <c r="D84" s="12" t="s">
        <v>3479</v>
      </c>
      <c r="E84" s="12" t="s">
        <v>3480</v>
      </c>
      <c r="F84" s="12" t="s">
        <v>3497</v>
      </c>
      <c r="G84" s="12" t="s">
        <v>3520</v>
      </c>
      <c r="H84" s="12" t="s">
        <v>827</v>
      </c>
      <c r="I84" s="12" t="s">
        <v>3474</v>
      </c>
      <c r="J84" s="12" t="n">
        <v>3493771</v>
      </c>
      <c r="K84" s="12"/>
    </row>
    <row r="85" customFormat="false" ht="15" hidden="false" customHeight="false" outlineLevel="0" collapsed="false">
      <c r="A85" s="12" t="s">
        <v>164</v>
      </c>
      <c r="B85" s="12" t="s">
        <v>1390</v>
      </c>
      <c r="C85" s="12" t="s">
        <v>3482</v>
      </c>
      <c r="D85" s="12" t="s">
        <v>3521</v>
      </c>
      <c r="E85" s="12" t="s">
        <v>3521</v>
      </c>
      <c r="F85" s="12" t="s">
        <v>3522</v>
      </c>
      <c r="G85" s="12" t="s">
        <v>3523</v>
      </c>
      <c r="H85" s="12" t="s">
        <v>251</v>
      </c>
      <c r="I85" s="12" t="s">
        <v>3474</v>
      </c>
      <c r="J85" s="12" t="n">
        <v>1737549</v>
      </c>
      <c r="K85" s="12"/>
    </row>
    <row r="86" customFormat="false" ht="15" hidden="false" customHeight="false" outlineLevel="0" collapsed="false">
      <c r="A86" s="12" t="s">
        <v>164</v>
      </c>
      <c r="B86" s="12" t="s">
        <v>1390</v>
      </c>
      <c r="C86" s="12" t="s">
        <v>3482</v>
      </c>
      <c r="D86" s="12" t="s">
        <v>3521</v>
      </c>
      <c r="E86" s="12" t="s">
        <v>3521</v>
      </c>
      <c r="F86" s="12" t="s">
        <v>3522</v>
      </c>
      <c r="G86" s="12" t="s">
        <v>3523</v>
      </c>
      <c r="H86" s="12" t="s">
        <v>251</v>
      </c>
      <c r="I86" s="12" t="s">
        <v>3509</v>
      </c>
      <c r="J86" s="12" t="n">
        <v>15042</v>
      </c>
      <c r="K86" s="12" t="s">
        <v>3512</v>
      </c>
    </row>
    <row r="87" customFormat="false" ht="15" hidden="false" customHeight="false" outlineLevel="0" collapsed="false">
      <c r="A87" s="12" t="s">
        <v>164</v>
      </c>
      <c r="B87" s="12" t="s">
        <v>1390</v>
      </c>
      <c r="C87" s="12" t="s">
        <v>3482</v>
      </c>
      <c r="D87" s="12" t="s">
        <v>3521</v>
      </c>
      <c r="E87" s="12" t="s">
        <v>3521</v>
      </c>
      <c r="F87" s="12" t="s">
        <v>3522</v>
      </c>
      <c r="G87" s="12" t="s">
        <v>3523</v>
      </c>
      <c r="H87" s="12" t="s">
        <v>251</v>
      </c>
      <c r="I87" s="12" t="s">
        <v>3508</v>
      </c>
      <c r="J87" s="12" t="n">
        <v>2095354</v>
      </c>
      <c r="K87" s="12"/>
    </row>
    <row r="88" customFormat="false" ht="15" hidden="false" customHeight="false" outlineLevel="0" collapsed="false">
      <c r="A88" s="12" t="s">
        <v>164</v>
      </c>
      <c r="B88" s="12" t="s">
        <v>1390</v>
      </c>
      <c r="C88" s="12" t="s">
        <v>3482</v>
      </c>
      <c r="D88" s="12" t="s">
        <v>240</v>
      </c>
      <c r="E88" s="12" t="s">
        <v>240</v>
      </c>
      <c r="F88" s="12" t="s">
        <v>3498</v>
      </c>
      <c r="G88" s="12" t="s">
        <v>3499</v>
      </c>
      <c r="H88" s="12" t="s">
        <v>239</v>
      </c>
      <c r="I88" s="12" t="s">
        <v>3474</v>
      </c>
      <c r="J88" s="12" t="n">
        <v>442</v>
      </c>
      <c r="K88" s="12"/>
    </row>
    <row r="89" customFormat="false" ht="15" hidden="false" customHeight="false" outlineLevel="0" collapsed="false">
      <c r="A89" s="12" t="s">
        <v>164</v>
      </c>
      <c r="B89" s="12" t="s">
        <v>1390</v>
      </c>
      <c r="C89" s="12" t="s">
        <v>3482</v>
      </c>
      <c r="D89" s="12" t="s">
        <v>240</v>
      </c>
      <c r="E89" s="12" t="s">
        <v>240</v>
      </c>
      <c r="F89" s="12" t="s">
        <v>3498</v>
      </c>
      <c r="G89" s="12" t="s">
        <v>3499</v>
      </c>
      <c r="H89" s="12" t="s">
        <v>239</v>
      </c>
      <c r="I89" s="12" t="s">
        <v>3509</v>
      </c>
      <c r="J89" s="12" t="n">
        <v>0</v>
      </c>
      <c r="K89" s="12" t="s">
        <v>3512</v>
      </c>
    </row>
    <row r="90" customFormat="false" ht="15" hidden="false" customHeight="false" outlineLevel="0" collapsed="false">
      <c r="A90" s="12" t="s">
        <v>164</v>
      </c>
      <c r="B90" s="12" t="s">
        <v>1390</v>
      </c>
      <c r="C90" s="12" t="s">
        <v>3482</v>
      </c>
      <c r="D90" s="12" t="s">
        <v>240</v>
      </c>
      <c r="E90" s="12" t="s">
        <v>240</v>
      </c>
      <c r="F90" s="12" t="s">
        <v>3498</v>
      </c>
      <c r="G90" s="12" t="s">
        <v>3499</v>
      </c>
      <c r="H90" s="12" t="s">
        <v>239</v>
      </c>
      <c r="I90" s="12" t="s">
        <v>3508</v>
      </c>
      <c r="J90" s="12" t="n">
        <v>983</v>
      </c>
      <c r="K90" s="12"/>
    </row>
    <row r="91" customFormat="false" ht="15" hidden="false" customHeight="false" outlineLevel="0" collapsed="false">
      <c r="A91" s="12" t="s">
        <v>164</v>
      </c>
      <c r="B91" s="12" t="s">
        <v>1390</v>
      </c>
      <c r="C91" s="12" t="s">
        <v>3482</v>
      </c>
      <c r="D91" s="12" t="s">
        <v>232</v>
      </c>
      <c r="E91" s="12" t="s">
        <v>232</v>
      </c>
      <c r="F91" s="12" t="s">
        <v>3524</v>
      </c>
      <c r="G91" s="12" t="s">
        <v>3524</v>
      </c>
      <c r="H91" s="12" t="s">
        <v>665</v>
      </c>
      <c r="I91" s="12" t="s">
        <v>3474</v>
      </c>
      <c r="J91" s="12" t="n">
        <v>0</v>
      </c>
      <c r="K91" s="12"/>
    </row>
    <row r="92" customFormat="false" ht="15" hidden="false" customHeight="false" outlineLevel="0" collapsed="false">
      <c r="A92" s="12" t="s">
        <v>164</v>
      </c>
      <c r="B92" s="12" t="s">
        <v>1390</v>
      </c>
      <c r="C92" s="12" t="s">
        <v>3482</v>
      </c>
      <c r="D92" s="12" t="s">
        <v>232</v>
      </c>
      <c r="E92" s="12" t="s">
        <v>232</v>
      </c>
      <c r="F92" s="12" t="s">
        <v>3524</v>
      </c>
      <c r="G92" s="12" t="s">
        <v>3524</v>
      </c>
      <c r="H92" s="12" t="s">
        <v>665</v>
      </c>
      <c r="I92" s="12" t="s">
        <v>3509</v>
      </c>
      <c r="J92" s="12" t="n">
        <v>2386</v>
      </c>
      <c r="K92" s="12" t="s">
        <v>3512</v>
      </c>
    </row>
    <row r="93" customFormat="false" ht="15" hidden="false" customHeight="false" outlineLevel="0" collapsed="false">
      <c r="A93" s="12" t="s">
        <v>164</v>
      </c>
      <c r="B93" s="12" t="s">
        <v>1390</v>
      </c>
      <c r="C93" s="12" t="s">
        <v>3482</v>
      </c>
      <c r="D93" s="12" t="s">
        <v>232</v>
      </c>
      <c r="E93" s="12" t="s">
        <v>232</v>
      </c>
      <c r="F93" s="12" t="s">
        <v>3524</v>
      </c>
      <c r="G93" s="12" t="s">
        <v>3524</v>
      </c>
      <c r="H93" s="12" t="s">
        <v>665</v>
      </c>
      <c r="I93" s="12" t="s">
        <v>3508</v>
      </c>
      <c r="J93" s="12" t="n">
        <v>144471</v>
      </c>
      <c r="K93" s="12"/>
    </row>
    <row r="94" customFormat="false" ht="15" hidden="false" customHeight="false" outlineLevel="0" collapsed="false">
      <c r="A94" s="12" t="s">
        <v>164</v>
      </c>
      <c r="B94" s="12" t="s">
        <v>1390</v>
      </c>
      <c r="C94" s="12" t="s">
        <v>3482</v>
      </c>
      <c r="D94" s="12" t="s">
        <v>232</v>
      </c>
      <c r="E94" s="12" t="s">
        <v>232</v>
      </c>
      <c r="F94" s="12" t="s">
        <v>3525</v>
      </c>
      <c r="G94" s="12" t="s">
        <v>3525</v>
      </c>
      <c r="H94" s="12" t="s">
        <v>665</v>
      </c>
      <c r="I94" s="12" t="s">
        <v>3474</v>
      </c>
      <c r="J94" s="12" t="n">
        <v>149781</v>
      </c>
      <c r="K94" s="12"/>
    </row>
    <row r="95" customFormat="false" ht="15" hidden="false" customHeight="false" outlineLevel="0" collapsed="false">
      <c r="A95" s="12" t="s">
        <v>164</v>
      </c>
      <c r="B95" s="12" t="s">
        <v>1390</v>
      </c>
      <c r="C95" s="12" t="s">
        <v>3482</v>
      </c>
      <c r="D95" s="12" t="s">
        <v>232</v>
      </c>
      <c r="E95" s="12" t="s">
        <v>232</v>
      </c>
      <c r="F95" s="12" t="s">
        <v>3525</v>
      </c>
      <c r="G95" s="12" t="s">
        <v>3525</v>
      </c>
      <c r="H95" s="12" t="s">
        <v>665</v>
      </c>
      <c r="I95" s="12" t="s">
        <v>3509</v>
      </c>
      <c r="J95" s="12" t="n">
        <v>0</v>
      </c>
      <c r="K95" s="12" t="s">
        <v>3512</v>
      </c>
    </row>
    <row r="96" customFormat="false" ht="15" hidden="false" customHeight="false" outlineLevel="0" collapsed="false">
      <c r="A96" s="12" t="s">
        <v>164</v>
      </c>
      <c r="B96" s="12" t="s">
        <v>1390</v>
      </c>
      <c r="C96" s="12" t="s">
        <v>3482</v>
      </c>
      <c r="D96" s="12" t="s">
        <v>232</v>
      </c>
      <c r="E96" s="12" t="s">
        <v>232</v>
      </c>
      <c r="F96" s="12" t="s">
        <v>3525</v>
      </c>
      <c r="G96" s="12" t="s">
        <v>3525</v>
      </c>
      <c r="H96" s="12" t="s">
        <v>665</v>
      </c>
      <c r="I96" s="12" t="s">
        <v>3508</v>
      </c>
      <c r="J96" s="12" t="n">
        <v>141</v>
      </c>
      <c r="K96" s="12"/>
    </row>
    <row r="97" customFormat="false" ht="15" hidden="false" customHeight="false" outlineLevel="0" collapsed="false">
      <c r="A97" s="12" t="s">
        <v>164</v>
      </c>
      <c r="B97" s="12" t="s">
        <v>1390</v>
      </c>
      <c r="C97" s="12" t="s">
        <v>3482</v>
      </c>
      <c r="D97" s="12" t="s">
        <v>232</v>
      </c>
      <c r="E97" s="12" t="s">
        <v>232</v>
      </c>
      <c r="F97" s="12" t="s">
        <v>3500</v>
      </c>
      <c r="G97" s="12" t="s">
        <v>3500</v>
      </c>
      <c r="H97" s="12" t="s">
        <v>821</v>
      </c>
      <c r="I97" s="12" t="s">
        <v>3474</v>
      </c>
      <c r="J97" s="12" t="n">
        <v>4474</v>
      </c>
      <c r="K97" s="12"/>
    </row>
    <row r="98" customFormat="false" ht="15" hidden="false" customHeight="false" outlineLevel="0" collapsed="false">
      <c r="A98" s="12" t="s">
        <v>164</v>
      </c>
      <c r="B98" s="12" t="s">
        <v>1390</v>
      </c>
      <c r="C98" s="12" t="s">
        <v>3482</v>
      </c>
      <c r="D98" s="12" t="s">
        <v>232</v>
      </c>
      <c r="E98" s="12" t="s">
        <v>232</v>
      </c>
      <c r="F98" s="12" t="s">
        <v>3500</v>
      </c>
      <c r="G98" s="12" t="s">
        <v>3500</v>
      </c>
      <c r="H98" s="12" t="s">
        <v>821</v>
      </c>
      <c r="I98" s="12" t="s">
        <v>3509</v>
      </c>
      <c r="J98" s="12" t="n">
        <v>0</v>
      </c>
      <c r="K98" s="12" t="s">
        <v>3512</v>
      </c>
    </row>
    <row r="99" customFormat="false" ht="15" hidden="false" customHeight="false" outlineLevel="0" collapsed="false">
      <c r="A99" s="12" t="s">
        <v>164</v>
      </c>
      <c r="B99" s="12" t="s">
        <v>1390</v>
      </c>
      <c r="C99" s="12" t="s">
        <v>3482</v>
      </c>
      <c r="D99" s="12" t="s">
        <v>232</v>
      </c>
      <c r="E99" s="12" t="s">
        <v>232</v>
      </c>
      <c r="F99" s="12" t="s">
        <v>3500</v>
      </c>
      <c r="G99" s="12" t="s">
        <v>3500</v>
      </c>
      <c r="H99" s="12" t="s">
        <v>821</v>
      </c>
      <c r="I99" s="12" t="s">
        <v>3508</v>
      </c>
      <c r="J99" s="12" t="n">
        <v>31</v>
      </c>
      <c r="K99" s="12"/>
    </row>
    <row r="100" customFormat="false" ht="15" hidden="false" customHeight="false" outlineLevel="0" collapsed="false">
      <c r="A100" s="12" t="s">
        <v>164</v>
      </c>
      <c r="B100" s="12" t="s">
        <v>1390</v>
      </c>
      <c r="C100" s="12" t="s">
        <v>3482</v>
      </c>
      <c r="D100" s="12" t="s">
        <v>232</v>
      </c>
      <c r="E100" s="12" t="s">
        <v>232</v>
      </c>
      <c r="F100" s="12" t="s">
        <v>3501</v>
      </c>
      <c r="G100" s="12" t="s">
        <v>3501</v>
      </c>
      <c r="H100" s="12" t="s">
        <v>1346</v>
      </c>
      <c r="I100" s="12" t="s">
        <v>3474</v>
      </c>
      <c r="J100" s="12" t="n">
        <v>43556</v>
      </c>
      <c r="K100" s="12"/>
    </row>
    <row r="101" customFormat="false" ht="15" hidden="false" customHeight="false" outlineLevel="0" collapsed="false">
      <c r="A101" s="12" t="s">
        <v>164</v>
      </c>
      <c r="B101" s="12" t="s">
        <v>1390</v>
      </c>
      <c r="C101" s="12" t="s">
        <v>3482</v>
      </c>
      <c r="D101" s="12" t="s">
        <v>232</v>
      </c>
      <c r="E101" s="12" t="s">
        <v>232</v>
      </c>
      <c r="F101" s="12" t="s">
        <v>3501</v>
      </c>
      <c r="G101" s="12" t="s">
        <v>3501</v>
      </c>
      <c r="H101" s="12" t="s">
        <v>1346</v>
      </c>
      <c r="I101" s="12" t="s">
        <v>3509</v>
      </c>
      <c r="J101" s="12" t="n">
        <v>0</v>
      </c>
      <c r="K101" s="12" t="s">
        <v>3512</v>
      </c>
    </row>
    <row r="102" customFormat="false" ht="15" hidden="false" customHeight="false" outlineLevel="0" collapsed="false">
      <c r="A102" s="12" t="s">
        <v>164</v>
      </c>
      <c r="B102" s="12" t="s">
        <v>1390</v>
      </c>
      <c r="C102" s="12" t="s">
        <v>3482</v>
      </c>
      <c r="D102" s="12" t="s">
        <v>232</v>
      </c>
      <c r="E102" s="12" t="s">
        <v>232</v>
      </c>
      <c r="F102" s="12" t="s">
        <v>3501</v>
      </c>
      <c r="G102" s="12" t="s">
        <v>3501</v>
      </c>
      <c r="H102" s="12" t="s">
        <v>1346</v>
      </c>
      <c r="I102" s="12" t="s">
        <v>3508</v>
      </c>
      <c r="J102" s="12" t="n">
        <v>6084</v>
      </c>
      <c r="K102" s="12"/>
    </row>
    <row r="103" customFormat="false" ht="15" hidden="false" customHeight="false" outlineLevel="0" collapsed="false">
      <c r="A103" s="12" t="s">
        <v>164</v>
      </c>
      <c r="B103" s="12" t="s">
        <v>1390</v>
      </c>
      <c r="C103" s="12" t="s">
        <v>3482</v>
      </c>
      <c r="D103" s="12" t="s">
        <v>232</v>
      </c>
      <c r="E103" s="12" t="s">
        <v>232</v>
      </c>
      <c r="F103" s="12" t="s">
        <v>3492</v>
      </c>
      <c r="G103" s="12" t="s">
        <v>3492</v>
      </c>
      <c r="H103" s="12" t="s">
        <v>853</v>
      </c>
      <c r="I103" s="12" t="s">
        <v>3474</v>
      </c>
      <c r="J103" s="12" t="n">
        <v>21149850</v>
      </c>
      <c r="K103" s="12"/>
    </row>
    <row r="104" customFormat="false" ht="15" hidden="false" customHeight="false" outlineLevel="0" collapsed="false">
      <c r="A104" s="12" t="s">
        <v>164</v>
      </c>
      <c r="B104" s="12" t="s">
        <v>1390</v>
      </c>
      <c r="C104" s="12" t="s">
        <v>3482</v>
      </c>
      <c r="D104" s="12" t="s">
        <v>232</v>
      </c>
      <c r="E104" s="12" t="s">
        <v>232</v>
      </c>
      <c r="F104" s="12" t="s">
        <v>3492</v>
      </c>
      <c r="G104" s="12" t="s">
        <v>3492</v>
      </c>
      <c r="H104" s="12" t="s">
        <v>853</v>
      </c>
      <c r="I104" s="12" t="s">
        <v>3509</v>
      </c>
      <c r="J104" s="12" t="n">
        <v>1211074</v>
      </c>
      <c r="K104" s="12" t="s">
        <v>3512</v>
      </c>
    </row>
    <row r="105" customFormat="false" ht="15" hidden="false" customHeight="false" outlineLevel="0" collapsed="false">
      <c r="A105" s="12" t="s">
        <v>164</v>
      </c>
      <c r="B105" s="12" t="s">
        <v>1390</v>
      </c>
      <c r="C105" s="12" t="s">
        <v>3482</v>
      </c>
      <c r="D105" s="12" t="s">
        <v>232</v>
      </c>
      <c r="E105" s="12" t="s">
        <v>232</v>
      </c>
      <c r="F105" s="12" t="s">
        <v>3492</v>
      </c>
      <c r="G105" s="12" t="s">
        <v>3492</v>
      </c>
      <c r="H105" s="12" t="s">
        <v>853</v>
      </c>
      <c r="I105" s="12" t="s">
        <v>3508</v>
      </c>
      <c r="J105" s="12" t="n">
        <v>468854209</v>
      </c>
      <c r="K105" s="12"/>
    </row>
    <row r="106" customFormat="false" ht="15" hidden="false" customHeight="false" outlineLevel="0" collapsed="false">
      <c r="A106" s="12" t="s">
        <v>164</v>
      </c>
      <c r="B106" s="12" t="s">
        <v>1390</v>
      </c>
      <c r="C106" s="12" t="s">
        <v>3482</v>
      </c>
      <c r="D106" s="12" t="s">
        <v>232</v>
      </c>
      <c r="E106" s="12" t="s">
        <v>232</v>
      </c>
      <c r="F106" s="12" t="s">
        <v>3502</v>
      </c>
      <c r="G106" s="12" t="s">
        <v>3502</v>
      </c>
      <c r="H106" s="12" t="s">
        <v>1346</v>
      </c>
      <c r="I106" s="12" t="s">
        <v>3474</v>
      </c>
      <c r="J106" s="12" t="n">
        <v>9</v>
      </c>
      <c r="K106" s="12"/>
    </row>
    <row r="107" customFormat="false" ht="15" hidden="false" customHeight="false" outlineLevel="0" collapsed="false">
      <c r="A107" s="12" t="s">
        <v>164</v>
      </c>
      <c r="B107" s="12" t="s">
        <v>1390</v>
      </c>
      <c r="C107" s="12" t="s">
        <v>3482</v>
      </c>
      <c r="D107" s="12" t="s">
        <v>3481</v>
      </c>
      <c r="E107" s="12" t="s">
        <v>3478</v>
      </c>
      <c r="F107" s="12" t="s">
        <v>3504</v>
      </c>
      <c r="G107" s="12" t="s">
        <v>3526</v>
      </c>
      <c r="H107" s="12" t="s">
        <v>848</v>
      </c>
      <c r="I107" s="12" t="s">
        <v>3474</v>
      </c>
      <c r="J107" s="12" t="n">
        <v>14397704</v>
      </c>
      <c r="K107" s="12"/>
    </row>
    <row r="108" customFormat="false" ht="15" hidden="false" customHeight="false" outlineLevel="0" collapsed="false">
      <c r="A108" s="12" t="s">
        <v>164</v>
      </c>
      <c r="B108" s="12" t="s">
        <v>1390</v>
      </c>
      <c r="C108" s="12" t="s">
        <v>3482</v>
      </c>
      <c r="D108" s="12" t="s">
        <v>3481</v>
      </c>
      <c r="E108" s="12" t="s">
        <v>3478</v>
      </c>
      <c r="F108" s="12" t="s">
        <v>3504</v>
      </c>
      <c r="G108" s="12" t="s">
        <v>3526</v>
      </c>
      <c r="H108" s="12" t="s">
        <v>848</v>
      </c>
      <c r="I108" s="12" t="s">
        <v>3509</v>
      </c>
      <c r="J108" s="12" t="n">
        <v>0</v>
      </c>
      <c r="K108" s="12" t="s">
        <v>3510</v>
      </c>
    </row>
    <row r="109" customFormat="false" ht="15" hidden="false" customHeight="false" outlineLevel="0" collapsed="false">
      <c r="A109" s="12" t="s">
        <v>164</v>
      </c>
      <c r="B109" s="12" t="s">
        <v>1390</v>
      </c>
      <c r="C109" s="12" t="s">
        <v>3482</v>
      </c>
      <c r="D109" s="12" t="s">
        <v>3481</v>
      </c>
      <c r="E109" s="12" t="s">
        <v>3478</v>
      </c>
      <c r="F109" s="12" t="s">
        <v>3504</v>
      </c>
      <c r="G109" s="12" t="s">
        <v>3526</v>
      </c>
      <c r="H109" s="12" t="s">
        <v>848</v>
      </c>
      <c r="I109" s="12" t="s">
        <v>3508</v>
      </c>
      <c r="J109" s="12" t="n">
        <v>1258</v>
      </c>
      <c r="K109" s="12" t="s">
        <v>3511</v>
      </c>
    </row>
    <row r="110" customFormat="false" ht="15" hidden="false" customHeight="false" outlineLevel="0" collapsed="false">
      <c r="A110" s="12" t="s">
        <v>248</v>
      </c>
      <c r="B110" s="12" t="s">
        <v>1432</v>
      </c>
      <c r="C110" s="12" t="s">
        <v>107</v>
      </c>
      <c r="D110" s="12"/>
      <c r="E110" s="12"/>
      <c r="F110" s="12"/>
      <c r="G110" s="12"/>
      <c r="H110" s="12" t="s">
        <v>143</v>
      </c>
      <c r="I110" s="12" t="s">
        <v>3473</v>
      </c>
      <c r="J110" s="12" t="n">
        <v>22</v>
      </c>
      <c r="K110" s="12"/>
    </row>
    <row r="111" customFormat="false" ht="15" hidden="false" customHeight="false" outlineLevel="0" collapsed="false">
      <c r="A111" s="12" t="s">
        <v>248</v>
      </c>
      <c r="B111" s="12" t="s">
        <v>1432</v>
      </c>
      <c r="C111" s="12" t="s">
        <v>107</v>
      </c>
      <c r="D111" s="12"/>
      <c r="E111" s="12"/>
      <c r="F111" s="12"/>
      <c r="G111" s="12"/>
      <c r="H111" s="12" t="s">
        <v>143</v>
      </c>
      <c r="I111" s="12" t="s">
        <v>3474</v>
      </c>
      <c r="J111" s="12" t="n">
        <v>113110631</v>
      </c>
      <c r="K111" s="12"/>
    </row>
    <row r="112" customFormat="false" ht="15" hidden="false" customHeight="false" outlineLevel="0" collapsed="false">
      <c r="A112" s="12" t="s">
        <v>248</v>
      </c>
      <c r="B112" s="12" t="s">
        <v>1432</v>
      </c>
      <c r="C112" s="12" t="s">
        <v>107</v>
      </c>
      <c r="D112" s="12"/>
      <c r="E112" s="12"/>
      <c r="F112" s="12"/>
      <c r="G112" s="12"/>
      <c r="H112" s="12" t="s">
        <v>143</v>
      </c>
      <c r="I112" s="12" t="s">
        <v>3475</v>
      </c>
      <c r="J112" s="12" t="n">
        <v>12</v>
      </c>
      <c r="K112" s="12"/>
    </row>
    <row r="113" customFormat="false" ht="15" hidden="false" customHeight="false" outlineLevel="0" collapsed="false">
      <c r="A113" s="12" t="s">
        <v>248</v>
      </c>
      <c r="B113" s="12" t="s">
        <v>1432</v>
      </c>
      <c r="C113" s="12" t="s">
        <v>107</v>
      </c>
      <c r="D113" s="12"/>
      <c r="E113" s="12"/>
      <c r="F113" s="12"/>
      <c r="G113" s="12"/>
      <c r="H113" s="12" t="s">
        <v>143</v>
      </c>
      <c r="I113" s="12" t="s">
        <v>3476</v>
      </c>
      <c r="J113" s="12" t="n">
        <v>6</v>
      </c>
      <c r="K113" s="12"/>
    </row>
    <row r="114" customFormat="false" ht="15" hidden="false" customHeight="false" outlineLevel="0" collapsed="false">
      <c r="A114" s="12" t="s">
        <v>248</v>
      </c>
      <c r="B114" s="12" t="s">
        <v>1432</v>
      </c>
      <c r="C114" s="12" t="s">
        <v>107</v>
      </c>
      <c r="D114" s="12"/>
      <c r="E114" s="12"/>
      <c r="F114" s="12"/>
      <c r="G114" s="12"/>
      <c r="H114" s="12" t="s">
        <v>143</v>
      </c>
      <c r="I114" s="12" t="s">
        <v>3508</v>
      </c>
      <c r="J114" s="12" t="n">
        <v>477636605</v>
      </c>
      <c r="K114" s="12"/>
    </row>
    <row r="115" customFormat="false" ht="15" hidden="false" customHeight="false" outlineLevel="0" collapsed="false">
      <c r="A115" s="12" t="s">
        <v>248</v>
      </c>
      <c r="B115" s="12" t="s">
        <v>1432</v>
      </c>
      <c r="C115" s="12" t="s">
        <v>3467</v>
      </c>
      <c r="D115" s="12" t="s">
        <v>3477</v>
      </c>
      <c r="E115" s="12" t="s">
        <v>3478</v>
      </c>
      <c r="F115" s="12"/>
      <c r="G115" s="12"/>
      <c r="H115" s="12"/>
      <c r="I115" s="12" t="s">
        <v>3474</v>
      </c>
      <c r="J115" s="12" t="n">
        <v>21071556</v>
      </c>
      <c r="K115" s="12"/>
    </row>
    <row r="116" customFormat="false" ht="15" hidden="false" customHeight="false" outlineLevel="0" collapsed="false">
      <c r="A116" s="12" t="s">
        <v>248</v>
      </c>
      <c r="B116" s="12" t="s">
        <v>1432</v>
      </c>
      <c r="C116" s="12" t="s">
        <v>3467</v>
      </c>
      <c r="D116" s="12" t="s">
        <v>3477</v>
      </c>
      <c r="E116" s="12" t="s">
        <v>3478</v>
      </c>
      <c r="F116" s="12"/>
      <c r="G116" s="12"/>
      <c r="H116" s="12"/>
      <c r="I116" s="12" t="s">
        <v>3509</v>
      </c>
      <c r="J116" s="12" t="n">
        <v>0</v>
      </c>
      <c r="K116" s="12" t="s">
        <v>3512</v>
      </c>
    </row>
    <row r="117" customFormat="false" ht="15" hidden="false" customHeight="false" outlineLevel="0" collapsed="false">
      <c r="A117" s="12" t="s">
        <v>248</v>
      </c>
      <c r="B117" s="12" t="s">
        <v>1432</v>
      </c>
      <c r="C117" s="12" t="s">
        <v>3467</v>
      </c>
      <c r="D117" s="12" t="s">
        <v>3477</v>
      </c>
      <c r="E117" s="12" t="s">
        <v>3478</v>
      </c>
      <c r="F117" s="12"/>
      <c r="G117" s="12"/>
      <c r="H117" s="12"/>
      <c r="I117" s="12" t="s">
        <v>3508</v>
      </c>
      <c r="J117" s="12" t="n">
        <v>85261</v>
      </c>
      <c r="K117" s="12"/>
    </row>
    <row r="118" customFormat="false" ht="15" hidden="false" customHeight="false" outlineLevel="0" collapsed="false">
      <c r="A118" s="12" t="s">
        <v>248</v>
      </c>
      <c r="B118" s="12" t="s">
        <v>1432</v>
      </c>
      <c r="C118" s="12" t="s">
        <v>3467</v>
      </c>
      <c r="D118" s="12" t="s">
        <v>3478</v>
      </c>
      <c r="E118" s="12" t="s">
        <v>3478</v>
      </c>
      <c r="F118" s="12"/>
      <c r="G118" s="12"/>
      <c r="H118" s="12"/>
      <c r="I118" s="12" t="s">
        <v>3474</v>
      </c>
      <c r="J118" s="12" t="n">
        <v>306954</v>
      </c>
      <c r="K118" s="12"/>
    </row>
    <row r="119" customFormat="false" ht="15" hidden="false" customHeight="false" outlineLevel="0" collapsed="false">
      <c r="A119" s="12" t="s">
        <v>248</v>
      </c>
      <c r="B119" s="12" t="s">
        <v>1432</v>
      </c>
      <c r="C119" s="12" t="s">
        <v>3467</v>
      </c>
      <c r="D119" s="12" t="s">
        <v>3478</v>
      </c>
      <c r="E119" s="12" t="s">
        <v>3478</v>
      </c>
      <c r="F119" s="12"/>
      <c r="G119" s="12"/>
      <c r="H119" s="12"/>
      <c r="I119" s="12" t="s">
        <v>3509</v>
      </c>
      <c r="J119" s="12" t="n">
        <v>159</v>
      </c>
      <c r="K119" s="12" t="s">
        <v>3512</v>
      </c>
    </row>
    <row r="120" customFormat="false" ht="15" hidden="false" customHeight="false" outlineLevel="0" collapsed="false">
      <c r="A120" s="12" t="s">
        <v>248</v>
      </c>
      <c r="B120" s="12" t="s">
        <v>1432</v>
      </c>
      <c r="C120" s="12" t="s">
        <v>3467</v>
      </c>
      <c r="D120" s="12" t="s">
        <v>3478</v>
      </c>
      <c r="E120" s="12" t="s">
        <v>3478</v>
      </c>
      <c r="F120" s="12"/>
      <c r="G120" s="12"/>
      <c r="H120" s="12"/>
      <c r="I120" s="12" t="s">
        <v>3508</v>
      </c>
      <c r="J120" s="12" t="n">
        <v>17405</v>
      </c>
      <c r="K120" s="12"/>
    </row>
    <row r="121" customFormat="false" ht="15" hidden="false" customHeight="false" outlineLevel="0" collapsed="false">
      <c r="A121" s="12" t="s">
        <v>248</v>
      </c>
      <c r="B121" s="12" t="s">
        <v>1432</v>
      </c>
      <c r="C121" s="12" t="s">
        <v>3467</v>
      </c>
      <c r="D121" s="12" t="s">
        <v>224</v>
      </c>
      <c r="E121" s="12" t="s">
        <v>224</v>
      </c>
      <c r="F121" s="12"/>
      <c r="G121" s="12"/>
      <c r="H121" s="12"/>
      <c r="I121" s="12" t="s">
        <v>3474</v>
      </c>
      <c r="J121" s="12" t="n">
        <v>50500245</v>
      </c>
      <c r="K121" s="12"/>
    </row>
    <row r="122" customFormat="false" ht="15" hidden="false" customHeight="false" outlineLevel="0" collapsed="false">
      <c r="A122" s="12" t="s">
        <v>248</v>
      </c>
      <c r="B122" s="12" t="s">
        <v>1432</v>
      </c>
      <c r="C122" s="12" t="s">
        <v>3467</v>
      </c>
      <c r="D122" s="12" t="s">
        <v>224</v>
      </c>
      <c r="E122" s="12" t="s">
        <v>224</v>
      </c>
      <c r="F122" s="12"/>
      <c r="G122" s="12"/>
      <c r="H122" s="12"/>
      <c r="I122" s="12" t="s">
        <v>3509</v>
      </c>
      <c r="J122" s="12" t="n">
        <v>2521</v>
      </c>
      <c r="K122" s="12" t="s">
        <v>3512</v>
      </c>
    </row>
    <row r="123" customFormat="false" ht="15" hidden="false" customHeight="false" outlineLevel="0" collapsed="false">
      <c r="A123" s="12" t="s">
        <v>248</v>
      </c>
      <c r="B123" s="12" t="s">
        <v>1432</v>
      </c>
      <c r="C123" s="12" t="s">
        <v>3467</v>
      </c>
      <c r="D123" s="12" t="s">
        <v>224</v>
      </c>
      <c r="E123" s="12" t="s">
        <v>224</v>
      </c>
      <c r="F123" s="12"/>
      <c r="G123" s="12"/>
      <c r="H123" s="12"/>
      <c r="I123" s="12" t="s">
        <v>3508</v>
      </c>
      <c r="J123" s="12" t="n">
        <v>156589</v>
      </c>
      <c r="K123" s="12"/>
    </row>
    <row r="124" customFormat="false" ht="15" hidden="false" customHeight="false" outlineLevel="0" collapsed="false">
      <c r="A124" s="12" t="s">
        <v>248</v>
      </c>
      <c r="B124" s="12" t="s">
        <v>1432</v>
      </c>
      <c r="C124" s="12" t="s">
        <v>3467</v>
      </c>
      <c r="D124" s="12" t="s">
        <v>3479</v>
      </c>
      <c r="E124" s="12" t="s">
        <v>3480</v>
      </c>
      <c r="F124" s="12"/>
      <c r="G124" s="12"/>
      <c r="H124" s="12"/>
      <c r="I124" s="12" t="s">
        <v>3474</v>
      </c>
      <c r="J124" s="12" t="n">
        <v>3538745</v>
      </c>
      <c r="K124" s="12"/>
    </row>
    <row r="125" customFormat="false" ht="15" hidden="false" customHeight="false" outlineLevel="0" collapsed="false">
      <c r="A125" s="12" t="s">
        <v>248</v>
      </c>
      <c r="B125" s="12" t="s">
        <v>1432</v>
      </c>
      <c r="C125" s="12" t="s">
        <v>3467</v>
      </c>
      <c r="D125" s="12" t="s">
        <v>3521</v>
      </c>
      <c r="E125" s="12" t="s">
        <v>3521</v>
      </c>
      <c r="F125" s="12"/>
      <c r="G125" s="12"/>
      <c r="H125" s="12"/>
      <c r="I125" s="12" t="s">
        <v>3474</v>
      </c>
      <c r="J125" s="12" t="n">
        <v>1741654</v>
      </c>
      <c r="K125" s="12"/>
    </row>
    <row r="126" customFormat="false" ht="15" hidden="false" customHeight="false" outlineLevel="0" collapsed="false">
      <c r="A126" s="12" t="s">
        <v>248</v>
      </c>
      <c r="B126" s="12" t="s">
        <v>1432</v>
      </c>
      <c r="C126" s="12" t="s">
        <v>3467</v>
      </c>
      <c r="D126" s="12" t="s">
        <v>3521</v>
      </c>
      <c r="E126" s="12" t="s">
        <v>3521</v>
      </c>
      <c r="F126" s="12"/>
      <c r="G126" s="12"/>
      <c r="H126" s="12"/>
      <c r="I126" s="12" t="s">
        <v>3509</v>
      </c>
      <c r="J126" s="12" t="n">
        <v>82382</v>
      </c>
      <c r="K126" s="12" t="s">
        <v>3512</v>
      </c>
    </row>
    <row r="127" customFormat="false" ht="15" hidden="false" customHeight="false" outlineLevel="0" collapsed="false">
      <c r="A127" s="12" t="s">
        <v>248</v>
      </c>
      <c r="B127" s="12" t="s">
        <v>1432</v>
      </c>
      <c r="C127" s="12" t="s">
        <v>3467</v>
      </c>
      <c r="D127" s="12" t="s">
        <v>3521</v>
      </c>
      <c r="E127" s="12" t="s">
        <v>3521</v>
      </c>
      <c r="F127" s="12"/>
      <c r="G127" s="12"/>
      <c r="H127" s="12"/>
      <c r="I127" s="12" t="s">
        <v>3508</v>
      </c>
      <c r="J127" s="12" t="n">
        <v>2162694</v>
      </c>
      <c r="K127" s="12"/>
    </row>
    <row r="128" customFormat="false" ht="15" hidden="false" customHeight="false" outlineLevel="0" collapsed="false">
      <c r="A128" s="12" t="s">
        <v>248</v>
      </c>
      <c r="B128" s="12" t="s">
        <v>1432</v>
      </c>
      <c r="C128" s="12" t="s">
        <v>3467</v>
      </c>
      <c r="D128" s="12" t="s">
        <v>240</v>
      </c>
      <c r="E128" s="12" t="s">
        <v>240</v>
      </c>
      <c r="F128" s="12"/>
      <c r="G128" s="12"/>
      <c r="H128" s="12"/>
      <c r="I128" s="12" t="s">
        <v>3474</v>
      </c>
      <c r="J128" s="12" t="n">
        <v>447</v>
      </c>
      <c r="K128" s="12"/>
    </row>
    <row r="129" customFormat="false" ht="15" hidden="false" customHeight="false" outlineLevel="0" collapsed="false">
      <c r="A129" s="12" t="s">
        <v>248</v>
      </c>
      <c r="B129" s="12" t="s">
        <v>1432</v>
      </c>
      <c r="C129" s="12" t="s">
        <v>3467</v>
      </c>
      <c r="D129" s="12" t="s">
        <v>240</v>
      </c>
      <c r="E129" s="12" t="s">
        <v>240</v>
      </c>
      <c r="F129" s="12"/>
      <c r="G129" s="12"/>
      <c r="H129" s="12"/>
      <c r="I129" s="12" t="s">
        <v>3509</v>
      </c>
      <c r="J129" s="12" t="n">
        <v>4</v>
      </c>
      <c r="K129" s="12" t="s">
        <v>3512</v>
      </c>
    </row>
    <row r="130" customFormat="false" ht="15" hidden="false" customHeight="false" outlineLevel="0" collapsed="false">
      <c r="A130" s="12" t="s">
        <v>248</v>
      </c>
      <c r="B130" s="12" t="s">
        <v>1432</v>
      </c>
      <c r="C130" s="12" t="s">
        <v>3467</v>
      </c>
      <c r="D130" s="12" t="s">
        <v>240</v>
      </c>
      <c r="E130" s="12" t="s">
        <v>240</v>
      </c>
      <c r="F130" s="12"/>
      <c r="G130" s="12"/>
      <c r="H130" s="12"/>
      <c r="I130" s="12" t="s">
        <v>3508</v>
      </c>
      <c r="J130" s="12" t="n">
        <v>987</v>
      </c>
      <c r="K130" s="12"/>
    </row>
    <row r="131" customFormat="false" ht="15" hidden="false" customHeight="false" outlineLevel="0" collapsed="false">
      <c r="A131" s="12" t="s">
        <v>248</v>
      </c>
      <c r="B131" s="12" t="s">
        <v>1432</v>
      </c>
      <c r="C131" s="12" t="s">
        <v>3467</v>
      </c>
      <c r="D131" s="12" t="s">
        <v>232</v>
      </c>
      <c r="E131" s="12" t="s">
        <v>232</v>
      </c>
      <c r="F131" s="12"/>
      <c r="G131" s="12"/>
      <c r="H131" s="12"/>
      <c r="I131" s="12" t="s">
        <v>3474</v>
      </c>
      <c r="J131" s="12" t="n">
        <v>21553326</v>
      </c>
      <c r="K131" s="12"/>
    </row>
    <row r="132" customFormat="false" ht="15" hidden="false" customHeight="false" outlineLevel="0" collapsed="false">
      <c r="A132" s="12" t="s">
        <v>248</v>
      </c>
      <c r="B132" s="12" t="s">
        <v>1432</v>
      </c>
      <c r="C132" s="12" t="s">
        <v>3467</v>
      </c>
      <c r="D132" s="12" t="s">
        <v>232</v>
      </c>
      <c r="E132" s="12" t="s">
        <v>232</v>
      </c>
      <c r="F132" s="12"/>
      <c r="G132" s="12"/>
      <c r="H132" s="12"/>
      <c r="I132" s="12" t="s">
        <v>3509</v>
      </c>
      <c r="J132" s="12" t="n">
        <v>7420935</v>
      </c>
      <c r="K132" s="12" t="s">
        <v>3512</v>
      </c>
    </row>
    <row r="133" customFormat="false" ht="15" hidden="false" customHeight="false" outlineLevel="0" collapsed="false">
      <c r="A133" s="12" t="s">
        <v>248</v>
      </c>
      <c r="B133" s="12" t="s">
        <v>1432</v>
      </c>
      <c r="C133" s="12" t="s">
        <v>3467</v>
      </c>
      <c r="D133" s="12" t="s">
        <v>232</v>
      </c>
      <c r="E133" s="12" t="s">
        <v>232</v>
      </c>
      <c r="F133" s="12"/>
      <c r="G133" s="12"/>
      <c r="H133" s="12"/>
      <c r="I133" s="12" t="s">
        <v>3508</v>
      </c>
      <c r="J133" s="12" t="n">
        <v>475212411</v>
      </c>
      <c r="K133" s="12"/>
    </row>
    <row r="134" customFormat="false" ht="15" hidden="false" customHeight="false" outlineLevel="0" collapsed="false">
      <c r="A134" s="12" t="s">
        <v>248</v>
      </c>
      <c r="B134" s="12" t="s">
        <v>1432</v>
      </c>
      <c r="C134" s="12" t="s">
        <v>3467</v>
      </c>
      <c r="D134" s="12" t="s">
        <v>3481</v>
      </c>
      <c r="E134" s="12" t="s">
        <v>3478</v>
      </c>
      <c r="F134" s="12"/>
      <c r="G134" s="12"/>
      <c r="H134" s="12"/>
      <c r="I134" s="12" t="s">
        <v>3474</v>
      </c>
      <c r="J134" s="12" t="n">
        <v>14397704</v>
      </c>
      <c r="K134" s="12"/>
    </row>
    <row r="135" customFormat="false" ht="15" hidden="false" customHeight="false" outlineLevel="0" collapsed="false">
      <c r="A135" s="12" t="s">
        <v>248</v>
      </c>
      <c r="B135" s="12" t="s">
        <v>1432</v>
      </c>
      <c r="C135" s="12" t="s">
        <v>3467</v>
      </c>
      <c r="D135" s="12" t="s">
        <v>3481</v>
      </c>
      <c r="E135" s="12" t="s">
        <v>3478</v>
      </c>
      <c r="F135" s="12"/>
      <c r="G135" s="12"/>
      <c r="H135" s="12"/>
      <c r="I135" s="12" t="s">
        <v>3509</v>
      </c>
      <c r="J135" s="12" t="n">
        <v>0</v>
      </c>
      <c r="K135" s="12" t="s">
        <v>3512</v>
      </c>
    </row>
    <row r="136" customFormat="false" ht="15" hidden="false" customHeight="false" outlineLevel="0" collapsed="false">
      <c r="A136" s="12" t="s">
        <v>248</v>
      </c>
      <c r="B136" s="12" t="s">
        <v>1432</v>
      </c>
      <c r="C136" s="12" t="s">
        <v>3467</v>
      </c>
      <c r="D136" s="12" t="s">
        <v>3481</v>
      </c>
      <c r="E136" s="12" t="s">
        <v>3478</v>
      </c>
      <c r="F136" s="12"/>
      <c r="G136" s="12"/>
      <c r="H136" s="12"/>
      <c r="I136" s="12" t="s">
        <v>3508</v>
      </c>
      <c r="J136" s="12" t="n">
        <v>1258</v>
      </c>
      <c r="K136" s="12"/>
    </row>
    <row r="137" customFormat="false" ht="15" hidden="false" customHeight="false" outlineLevel="0" collapsed="false">
      <c r="A137" s="12" t="s">
        <v>248</v>
      </c>
      <c r="B137" s="12" t="s">
        <v>1432</v>
      </c>
      <c r="C137" s="12" t="s">
        <v>3482</v>
      </c>
      <c r="D137" s="12" t="s">
        <v>3477</v>
      </c>
      <c r="E137" s="12" t="s">
        <v>3478</v>
      </c>
      <c r="F137" s="12" t="s">
        <v>3477</v>
      </c>
      <c r="G137" s="12" t="s">
        <v>3477</v>
      </c>
      <c r="H137" s="12" t="s">
        <v>562</v>
      </c>
      <c r="I137" s="12" t="s">
        <v>3474</v>
      </c>
      <c r="J137" s="12" t="n">
        <v>21071556</v>
      </c>
      <c r="K137" s="12" t="s">
        <v>3483</v>
      </c>
    </row>
    <row r="138" customFormat="false" ht="15" hidden="false" customHeight="false" outlineLevel="0" collapsed="false">
      <c r="A138" s="12" t="s">
        <v>248</v>
      </c>
      <c r="B138" s="12" t="s">
        <v>1432</v>
      </c>
      <c r="C138" s="12" t="s">
        <v>3482</v>
      </c>
      <c r="D138" s="12" t="s">
        <v>3477</v>
      </c>
      <c r="E138" s="12" t="s">
        <v>3478</v>
      </c>
      <c r="F138" s="12" t="s">
        <v>3477</v>
      </c>
      <c r="G138" s="12" t="s">
        <v>3477</v>
      </c>
      <c r="H138" s="12" t="s">
        <v>562</v>
      </c>
      <c r="I138" s="12" t="s">
        <v>3509</v>
      </c>
      <c r="J138" s="12" t="n">
        <v>0</v>
      </c>
      <c r="K138" s="12" t="s">
        <v>3512</v>
      </c>
    </row>
    <row r="139" customFormat="false" ht="15" hidden="false" customHeight="false" outlineLevel="0" collapsed="false">
      <c r="A139" s="12" t="s">
        <v>248</v>
      </c>
      <c r="B139" s="12" t="s">
        <v>1432</v>
      </c>
      <c r="C139" s="12" t="s">
        <v>3482</v>
      </c>
      <c r="D139" s="12" t="s">
        <v>3477</v>
      </c>
      <c r="E139" s="12" t="s">
        <v>3478</v>
      </c>
      <c r="F139" s="12" t="s">
        <v>3477</v>
      </c>
      <c r="G139" s="12" t="s">
        <v>3477</v>
      </c>
      <c r="H139" s="12" t="s">
        <v>562</v>
      </c>
      <c r="I139" s="12" t="s">
        <v>3508</v>
      </c>
      <c r="J139" s="12" t="n">
        <v>85261</v>
      </c>
      <c r="K139" s="12" t="s">
        <v>3527</v>
      </c>
    </row>
    <row r="140" customFormat="false" ht="15" hidden="false" customHeight="false" outlineLevel="0" collapsed="false">
      <c r="A140" s="12" t="s">
        <v>248</v>
      </c>
      <c r="B140" s="12" t="s">
        <v>1432</v>
      </c>
      <c r="C140" s="12" t="s">
        <v>3482</v>
      </c>
      <c r="D140" s="12" t="s">
        <v>3478</v>
      </c>
      <c r="E140" s="12" t="s">
        <v>3478</v>
      </c>
      <c r="F140" s="12" t="s">
        <v>3484</v>
      </c>
      <c r="G140" s="12" t="s">
        <v>3484</v>
      </c>
      <c r="H140" s="12" t="s">
        <v>721</v>
      </c>
      <c r="I140" s="12" t="s">
        <v>3474</v>
      </c>
      <c r="J140" s="12" t="n">
        <v>7277</v>
      </c>
      <c r="K140" s="12"/>
    </row>
    <row r="141" customFormat="false" ht="15" hidden="false" customHeight="false" outlineLevel="0" collapsed="false">
      <c r="A141" s="12" t="s">
        <v>248</v>
      </c>
      <c r="B141" s="12" t="s">
        <v>1432</v>
      </c>
      <c r="C141" s="12" t="s">
        <v>3482</v>
      </c>
      <c r="D141" s="12" t="s">
        <v>3478</v>
      </c>
      <c r="E141" s="12" t="s">
        <v>3478</v>
      </c>
      <c r="F141" s="12" t="s">
        <v>3484</v>
      </c>
      <c r="G141" s="12" t="s">
        <v>3484</v>
      </c>
      <c r="H141" s="12" t="s">
        <v>721</v>
      </c>
      <c r="I141" s="12" t="s">
        <v>3509</v>
      </c>
      <c r="J141" s="12" t="n">
        <v>0</v>
      </c>
      <c r="K141" s="12" t="s">
        <v>3512</v>
      </c>
    </row>
    <row r="142" customFormat="false" ht="15" hidden="false" customHeight="false" outlineLevel="0" collapsed="false">
      <c r="A142" s="12" t="s">
        <v>248</v>
      </c>
      <c r="B142" s="12" t="s">
        <v>1432</v>
      </c>
      <c r="C142" s="12" t="s">
        <v>3482</v>
      </c>
      <c r="D142" s="12" t="s">
        <v>3478</v>
      </c>
      <c r="E142" s="12" t="s">
        <v>3478</v>
      </c>
      <c r="F142" s="12" t="s">
        <v>3484</v>
      </c>
      <c r="G142" s="12" t="s">
        <v>3484</v>
      </c>
      <c r="H142" s="12" t="s">
        <v>721</v>
      </c>
      <c r="I142" s="12" t="s">
        <v>3508</v>
      </c>
      <c r="J142" s="12" t="n">
        <v>103</v>
      </c>
      <c r="K142" s="12"/>
    </row>
    <row r="143" customFormat="false" ht="15" hidden="false" customHeight="false" outlineLevel="0" collapsed="false">
      <c r="A143" s="12" t="s">
        <v>248</v>
      </c>
      <c r="B143" s="12" t="s">
        <v>1432</v>
      </c>
      <c r="C143" s="12" t="s">
        <v>3482</v>
      </c>
      <c r="D143" s="12" t="s">
        <v>3478</v>
      </c>
      <c r="E143" s="12" t="s">
        <v>3478</v>
      </c>
      <c r="F143" s="12" t="s">
        <v>3513</v>
      </c>
      <c r="G143" s="12" t="s">
        <v>3528</v>
      </c>
      <c r="H143" s="12" t="s">
        <v>964</v>
      </c>
      <c r="I143" s="12" t="s">
        <v>3474</v>
      </c>
      <c r="J143" s="12" t="n">
        <v>31760</v>
      </c>
      <c r="K143" s="12"/>
    </row>
    <row r="144" customFormat="false" ht="15" hidden="false" customHeight="false" outlineLevel="0" collapsed="false">
      <c r="A144" s="12" t="s">
        <v>248</v>
      </c>
      <c r="B144" s="12" t="s">
        <v>1432</v>
      </c>
      <c r="C144" s="12" t="s">
        <v>3482</v>
      </c>
      <c r="D144" s="12" t="s">
        <v>3478</v>
      </c>
      <c r="E144" s="12" t="s">
        <v>3478</v>
      </c>
      <c r="F144" s="12" t="s">
        <v>3513</v>
      </c>
      <c r="G144" s="12" t="s">
        <v>3528</v>
      </c>
      <c r="H144" s="12" t="s">
        <v>964</v>
      </c>
      <c r="I144" s="12" t="s">
        <v>3509</v>
      </c>
      <c r="J144" s="12" t="n">
        <v>159</v>
      </c>
      <c r="K144" s="12" t="s">
        <v>3512</v>
      </c>
    </row>
    <row r="145" customFormat="false" ht="15" hidden="false" customHeight="false" outlineLevel="0" collapsed="false">
      <c r="A145" s="12" t="s">
        <v>248</v>
      </c>
      <c r="B145" s="12" t="s">
        <v>1432</v>
      </c>
      <c r="C145" s="12" t="s">
        <v>3482</v>
      </c>
      <c r="D145" s="12" t="s">
        <v>3478</v>
      </c>
      <c r="E145" s="12" t="s">
        <v>3478</v>
      </c>
      <c r="F145" s="12" t="s">
        <v>3513</v>
      </c>
      <c r="G145" s="12" t="s">
        <v>3528</v>
      </c>
      <c r="H145" s="12" t="s">
        <v>964</v>
      </c>
      <c r="I145" s="12" t="s">
        <v>3508</v>
      </c>
      <c r="J145" s="12" t="n">
        <v>6460</v>
      </c>
      <c r="K145" s="12"/>
    </row>
    <row r="146" customFormat="false" ht="15" hidden="false" customHeight="false" outlineLevel="0" collapsed="false">
      <c r="A146" s="12" t="s">
        <v>248</v>
      </c>
      <c r="B146" s="12" t="s">
        <v>1432</v>
      </c>
      <c r="C146" s="12" t="s">
        <v>3482</v>
      </c>
      <c r="D146" s="12" t="s">
        <v>3478</v>
      </c>
      <c r="E146" s="12" t="s">
        <v>3478</v>
      </c>
      <c r="F146" s="12" t="s">
        <v>3514</v>
      </c>
      <c r="G146" s="12" t="s">
        <v>3529</v>
      </c>
      <c r="H146" s="12" t="s">
        <v>969</v>
      </c>
      <c r="I146" s="12" t="s">
        <v>3474</v>
      </c>
      <c r="J146" s="12" t="n">
        <v>202444</v>
      </c>
      <c r="K146" s="12"/>
    </row>
    <row r="147" customFormat="false" ht="15" hidden="false" customHeight="false" outlineLevel="0" collapsed="false">
      <c r="A147" s="12" t="s">
        <v>248</v>
      </c>
      <c r="B147" s="12" t="s">
        <v>1432</v>
      </c>
      <c r="C147" s="12" t="s">
        <v>3482</v>
      </c>
      <c r="D147" s="12" t="s">
        <v>3478</v>
      </c>
      <c r="E147" s="12" t="s">
        <v>3478</v>
      </c>
      <c r="F147" s="12" t="s">
        <v>3514</v>
      </c>
      <c r="G147" s="12" t="s">
        <v>3529</v>
      </c>
      <c r="H147" s="12" t="s">
        <v>969</v>
      </c>
      <c r="I147" s="12" t="s">
        <v>3509</v>
      </c>
      <c r="J147" s="12" t="n">
        <v>0</v>
      </c>
      <c r="K147" s="12" t="s">
        <v>3512</v>
      </c>
    </row>
    <row r="148" customFormat="false" ht="15" hidden="false" customHeight="false" outlineLevel="0" collapsed="false">
      <c r="A148" s="12" t="s">
        <v>248</v>
      </c>
      <c r="B148" s="12" t="s">
        <v>1432</v>
      </c>
      <c r="C148" s="12" t="s">
        <v>3482</v>
      </c>
      <c r="D148" s="12" t="s">
        <v>3478</v>
      </c>
      <c r="E148" s="12" t="s">
        <v>3478</v>
      </c>
      <c r="F148" s="12" t="s">
        <v>3514</v>
      </c>
      <c r="G148" s="12" t="s">
        <v>3529</v>
      </c>
      <c r="H148" s="12" t="s">
        <v>969</v>
      </c>
      <c r="I148" s="12" t="s">
        <v>3508</v>
      </c>
      <c r="J148" s="12" t="n">
        <v>10783</v>
      </c>
      <c r="K148" s="12"/>
    </row>
    <row r="149" customFormat="false" ht="15" hidden="false" customHeight="false" outlineLevel="0" collapsed="false">
      <c r="A149" s="12" t="s">
        <v>248</v>
      </c>
      <c r="B149" s="12" t="s">
        <v>1432</v>
      </c>
      <c r="C149" s="12" t="s">
        <v>3482</v>
      </c>
      <c r="D149" s="12" t="s">
        <v>3478</v>
      </c>
      <c r="E149" s="12" t="s">
        <v>3478</v>
      </c>
      <c r="F149" s="12" t="s">
        <v>3485</v>
      </c>
      <c r="G149" s="12" t="s">
        <v>3486</v>
      </c>
      <c r="H149" s="12" t="s">
        <v>1018</v>
      </c>
      <c r="I149" s="12" t="s">
        <v>3474</v>
      </c>
      <c r="J149" s="12" t="n">
        <v>79614</v>
      </c>
      <c r="K149" s="12"/>
    </row>
    <row r="150" customFormat="false" ht="15" hidden="false" customHeight="false" outlineLevel="0" collapsed="false">
      <c r="A150" s="12" t="s">
        <v>248</v>
      </c>
      <c r="B150" s="12" t="s">
        <v>1432</v>
      </c>
      <c r="C150" s="12" t="s">
        <v>3482</v>
      </c>
      <c r="D150" s="12" t="s">
        <v>3478</v>
      </c>
      <c r="E150" s="12" t="s">
        <v>3478</v>
      </c>
      <c r="F150" s="12" t="s">
        <v>3485</v>
      </c>
      <c r="G150" s="12" t="s">
        <v>3486</v>
      </c>
      <c r="H150" s="12" t="s">
        <v>1018</v>
      </c>
      <c r="I150" s="12" t="s">
        <v>3509</v>
      </c>
      <c r="J150" s="12" t="n">
        <v>0</v>
      </c>
      <c r="K150" s="12" t="s">
        <v>3512</v>
      </c>
    </row>
    <row r="151" customFormat="false" ht="15" hidden="false" customHeight="false" outlineLevel="0" collapsed="false">
      <c r="A151" s="12" t="s">
        <v>248</v>
      </c>
      <c r="B151" s="12" t="s">
        <v>1432</v>
      </c>
      <c r="C151" s="12" t="s">
        <v>3482</v>
      </c>
      <c r="D151" s="12" t="s">
        <v>3478</v>
      </c>
      <c r="E151" s="12" t="s">
        <v>3478</v>
      </c>
      <c r="F151" s="12" t="s">
        <v>3485</v>
      </c>
      <c r="G151" s="12" t="s">
        <v>3486</v>
      </c>
      <c r="H151" s="12" t="s">
        <v>1018</v>
      </c>
      <c r="I151" s="12" t="s">
        <v>3508</v>
      </c>
      <c r="J151" s="12" t="n">
        <v>59</v>
      </c>
      <c r="K151" s="12"/>
    </row>
    <row r="152" customFormat="false" ht="15" hidden="false" customHeight="false" outlineLevel="0" collapsed="false">
      <c r="A152" s="12" t="s">
        <v>248</v>
      </c>
      <c r="B152" s="12" t="s">
        <v>1432</v>
      </c>
      <c r="C152" s="12" t="s">
        <v>3482</v>
      </c>
      <c r="D152" s="12" t="s">
        <v>224</v>
      </c>
      <c r="E152" s="12" t="s">
        <v>224</v>
      </c>
      <c r="F152" s="12" t="s">
        <v>3489</v>
      </c>
      <c r="G152" s="12" t="s">
        <v>3489</v>
      </c>
      <c r="H152" s="12" t="s">
        <v>1268</v>
      </c>
      <c r="I152" s="12" t="s">
        <v>3474</v>
      </c>
      <c r="J152" s="12" t="n">
        <v>816773</v>
      </c>
      <c r="K152" s="12"/>
    </row>
    <row r="153" customFormat="false" ht="15" hidden="false" customHeight="false" outlineLevel="0" collapsed="false">
      <c r="A153" s="12" t="s">
        <v>248</v>
      </c>
      <c r="B153" s="12" t="s">
        <v>1432</v>
      </c>
      <c r="C153" s="12" t="s">
        <v>3482</v>
      </c>
      <c r="D153" s="12" t="s">
        <v>224</v>
      </c>
      <c r="E153" s="12" t="s">
        <v>224</v>
      </c>
      <c r="F153" s="12" t="s">
        <v>3489</v>
      </c>
      <c r="G153" s="12" t="s">
        <v>3489</v>
      </c>
      <c r="H153" s="12" t="s">
        <v>1268</v>
      </c>
      <c r="I153" s="12" t="s">
        <v>3509</v>
      </c>
      <c r="J153" s="12" t="n">
        <v>828</v>
      </c>
      <c r="K153" s="12" t="s">
        <v>3512</v>
      </c>
    </row>
    <row r="154" customFormat="false" ht="15" hidden="false" customHeight="false" outlineLevel="0" collapsed="false">
      <c r="A154" s="12" t="s">
        <v>248</v>
      </c>
      <c r="B154" s="12" t="s">
        <v>1432</v>
      </c>
      <c r="C154" s="12" t="s">
        <v>3482</v>
      </c>
      <c r="D154" s="12" t="s">
        <v>224</v>
      </c>
      <c r="E154" s="12" t="s">
        <v>224</v>
      </c>
      <c r="F154" s="12" t="s">
        <v>3489</v>
      </c>
      <c r="G154" s="12" t="s">
        <v>3489</v>
      </c>
      <c r="H154" s="12" t="s">
        <v>1268</v>
      </c>
      <c r="I154" s="12" t="s">
        <v>3508</v>
      </c>
      <c r="J154" s="12" t="n">
        <v>153915</v>
      </c>
      <c r="K154" s="12"/>
    </row>
    <row r="155" customFormat="false" ht="15" hidden="false" customHeight="false" outlineLevel="0" collapsed="false">
      <c r="A155" s="12" t="s">
        <v>248</v>
      </c>
      <c r="B155" s="12" t="s">
        <v>1432</v>
      </c>
      <c r="C155" s="12" t="s">
        <v>3482</v>
      </c>
      <c r="D155" s="12" t="s">
        <v>224</v>
      </c>
      <c r="E155" s="12" t="s">
        <v>224</v>
      </c>
      <c r="F155" s="12" t="s">
        <v>3490</v>
      </c>
      <c r="G155" s="12" t="s">
        <v>3491</v>
      </c>
      <c r="H155" s="12" t="s">
        <v>837</v>
      </c>
      <c r="I155" s="12" t="s">
        <v>3474</v>
      </c>
      <c r="J155" s="12" t="n">
        <v>6820431</v>
      </c>
      <c r="K155" s="12"/>
    </row>
    <row r="156" customFormat="false" ht="15" hidden="false" customHeight="false" outlineLevel="0" collapsed="false">
      <c r="A156" s="12" t="s">
        <v>248</v>
      </c>
      <c r="B156" s="12" t="s">
        <v>1432</v>
      </c>
      <c r="C156" s="12" t="s">
        <v>3482</v>
      </c>
      <c r="D156" s="12" t="s">
        <v>224</v>
      </c>
      <c r="E156" s="12" t="s">
        <v>224</v>
      </c>
      <c r="F156" s="12" t="s">
        <v>3490</v>
      </c>
      <c r="G156" s="12" t="s">
        <v>3491</v>
      </c>
      <c r="H156" s="12" t="s">
        <v>837</v>
      </c>
      <c r="I156" s="12" t="s">
        <v>3509</v>
      </c>
      <c r="J156" s="12" t="n">
        <v>0</v>
      </c>
      <c r="K156" s="12" t="s">
        <v>3512</v>
      </c>
    </row>
    <row r="157" customFormat="false" ht="15" hidden="false" customHeight="false" outlineLevel="0" collapsed="false">
      <c r="A157" s="12" t="s">
        <v>248</v>
      </c>
      <c r="B157" s="12" t="s">
        <v>1432</v>
      </c>
      <c r="C157" s="12" t="s">
        <v>3482</v>
      </c>
      <c r="D157" s="12" t="s">
        <v>224</v>
      </c>
      <c r="E157" s="12" t="s">
        <v>224</v>
      </c>
      <c r="F157" s="12" t="s">
        <v>3490</v>
      </c>
      <c r="G157" s="12" t="s">
        <v>3491</v>
      </c>
      <c r="H157" s="12" t="s">
        <v>837</v>
      </c>
      <c r="I157" s="12" t="s">
        <v>3508</v>
      </c>
      <c r="J157" s="12" t="n">
        <v>37</v>
      </c>
      <c r="K157" s="12"/>
    </row>
    <row r="158" customFormat="false" ht="15" hidden="false" customHeight="false" outlineLevel="0" collapsed="false">
      <c r="A158" s="12" t="s">
        <v>248</v>
      </c>
      <c r="B158" s="12" t="s">
        <v>1432</v>
      </c>
      <c r="C158" s="12" t="s">
        <v>3482</v>
      </c>
      <c r="D158" s="12" t="s">
        <v>224</v>
      </c>
      <c r="E158" s="12" t="s">
        <v>224</v>
      </c>
      <c r="F158" s="12" t="s">
        <v>3492</v>
      </c>
      <c r="G158" s="12" t="s">
        <v>3492</v>
      </c>
      <c r="H158" s="12" t="s">
        <v>843</v>
      </c>
      <c r="I158" s="12" t="s">
        <v>3474</v>
      </c>
      <c r="J158" s="12" t="n">
        <v>42482055</v>
      </c>
      <c r="K158" s="12"/>
    </row>
    <row r="159" customFormat="false" ht="15" hidden="false" customHeight="false" outlineLevel="0" collapsed="false">
      <c r="A159" s="12" t="s">
        <v>248</v>
      </c>
      <c r="B159" s="12" t="s">
        <v>1432</v>
      </c>
      <c r="C159" s="12" t="s">
        <v>3482</v>
      </c>
      <c r="D159" s="12" t="s">
        <v>224</v>
      </c>
      <c r="E159" s="12" t="s">
        <v>224</v>
      </c>
      <c r="F159" s="12" t="s">
        <v>3492</v>
      </c>
      <c r="G159" s="12" t="s">
        <v>3492</v>
      </c>
      <c r="H159" s="12" t="s">
        <v>843</v>
      </c>
      <c r="I159" s="12" t="s">
        <v>3509</v>
      </c>
      <c r="J159" s="12" t="n">
        <v>0</v>
      </c>
      <c r="K159" s="12" t="s">
        <v>3512</v>
      </c>
    </row>
    <row r="160" customFormat="false" ht="15" hidden="false" customHeight="false" outlineLevel="0" collapsed="false">
      <c r="A160" s="12" t="s">
        <v>248</v>
      </c>
      <c r="B160" s="12" t="s">
        <v>1432</v>
      </c>
      <c r="C160" s="12" t="s">
        <v>3482</v>
      </c>
      <c r="D160" s="12" t="s">
        <v>224</v>
      </c>
      <c r="E160" s="12" t="s">
        <v>224</v>
      </c>
      <c r="F160" s="12" t="s">
        <v>3492</v>
      </c>
      <c r="G160" s="12" t="s">
        <v>3492</v>
      </c>
      <c r="H160" s="12" t="s">
        <v>843</v>
      </c>
      <c r="I160" s="12" t="s">
        <v>3508</v>
      </c>
      <c r="J160" s="12" t="n">
        <v>2</v>
      </c>
      <c r="K160" s="12"/>
    </row>
    <row r="161" customFormat="false" ht="15" hidden="false" customHeight="false" outlineLevel="0" collapsed="false">
      <c r="A161" s="12" t="s">
        <v>248</v>
      </c>
      <c r="B161" s="12" t="s">
        <v>1432</v>
      </c>
      <c r="C161" s="12" t="s">
        <v>3482</v>
      </c>
      <c r="D161" s="12" t="s">
        <v>224</v>
      </c>
      <c r="E161" s="12" t="s">
        <v>224</v>
      </c>
      <c r="F161" s="12" t="s">
        <v>3515</v>
      </c>
      <c r="G161" s="12" t="s">
        <v>3530</v>
      </c>
      <c r="H161" s="12" t="s">
        <v>974</v>
      </c>
      <c r="I161" s="12" t="s">
        <v>3474</v>
      </c>
      <c r="J161" s="12" t="n">
        <v>1005</v>
      </c>
      <c r="K161" s="12"/>
    </row>
    <row r="162" customFormat="false" ht="15" hidden="false" customHeight="false" outlineLevel="0" collapsed="false">
      <c r="A162" s="12" t="s">
        <v>248</v>
      </c>
      <c r="B162" s="12" t="s">
        <v>1432</v>
      </c>
      <c r="C162" s="12" t="s">
        <v>3482</v>
      </c>
      <c r="D162" s="12" t="s">
        <v>224</v>
      </c>
      <c r="E162" s="12" t="s">
        <v>224</v>
      </c>
      <c r="F162" s="12" t="s">
        <v>3515</v>
      </c>
      <c r="G162" s="12" t="s">
        <v>3530</v>
      </c>
      <c r="H162" s="12" t="s">
        <v>974</v>
      </c>
      <c r="I162" s="12" t="s">
        <v>3509</v>
      </c>
      <c r="J162" s="12" t="n">
        <v>1</v>
      </c>
      <c r="K162" s="12" t="s">
        <v>3512</v>
      </c>
    </row>
    <row r="163" customFormat="false" ht="15" hidden="false" customHeight="false" outlineLevel="0" collapsed="false">
      <c r="A163" s="12" t="s">
        <v>248</v>
      </c>
      <c r="B163" s="12" t="s">
        <v>1432</v>
      </c>
      <c r="C163" s="12" t="s">
        <v>3482</v>
      </c>
      <c r="D163" s="12" t="s">
        <v>224</v>
      </c>
      <c r="E163" s="12" t="s">
        <v>224</v>
      </c>
      <c r="F163" s="12" t="s">
        <v>3515</v>
      </c>
      <c r="G163" s="12" t="s">
        <v>3530</v>
      </c>
      <c r="H163" s="12" t="s">
        <v>974</v>
      </c>
      <c r="I163" s="12" t="s">
        <v>3508</v>
      </c>
      <c r="J163" s="12" t="n">
        <v>73</v>
      </c>
      <c r="K163" s="12"/>
    </row>
    <row r="164" customFormat="false" ht="15" hidden="false" customHeight="false" outlineLevel="0" collapsed="false">
      <c r="A164" s="12" t="s">
        <v>248</v>
      </c>
      <c r="B164" s="12" t="s">
        <v>1432</v>
      </c>
      <c r="C164" s="12" t="s">
        <v>3482</v>
      </c>
      <c r="D164" s="12" t="s">
        <v>224</v>
      </c>
      <c r="E164" s="12" t="s">
        <v>224</v>
      </c>
      <c r="F164" s="12" t="s">
        <v>3493</v>
      </c>
      <c r="G164" s="12" t="s">
        <v>3493</v>
      </c>
      <c r="H164" s="12" t="s">
        <v>265</v>
      </c>
      <c r="I164" s="12" t="s">
        <v>3474</v>
      </c>
      <c r="J164" s="12" t="n">
        <v>23047</v>
      </c>
      <c r="K164" s="12"/>
    </row>
    <row r="165" customFormat="false" ht="15" hidden="false" customHeight="false" outlineLevel="0" collapsed="false">
      <c r="A165" s="12" t="s">
        <v>248</v>
      </c>
      <c r="B165" s="12" t="s">
        <v>1432</v>
      </c>
      <c r="C165" s="12" t="s">
        <v>3482</v>
      </c>
      <c r="D165" s="12" t="s">
        <v>224</v>
      </c>
      <c r="E165" s="12" t="s">
        <v>224</v>
      </c>
      <c r="F165" s="12" t="s">
        <v>3493</v>
      </c>
      <c r="G165" s="12" t="s">
        <v>3493</v>
      </c>
      <c r="H165" s="12" t="s">
        <v>265</v>
      </c>
      <c r="I165" s="12" t="s">
        <v>3509</v>
      </c>
      <c r="J165" s="12" t="n">
        <v>0</v>
      </c>
      <c r="K165" s="12" t="s">
        <v>3512</v>
      </c>
    </row>
    <row r="166" customFormat="false" ht="15" hidden="false" customHeight="false" outlineLevel="0" collapsed="false">
      <c r="A166" s="12" t="s">
        <v>248</v>
      </c>
      <c r="B166" s="12" t="s">
        <v>1432</v>
      </c>
      <c r="C166" s="12" t="s">
        <v>3482</v>
      </c>
      <c r="D166" s="12" t="s">
        <v>224</v>
      </c>
      <c r="E166" s="12" t="s">
        <v>224</v>
      </c>
      <c r="F166" s="12" t="s">
        <v>3493</v>
      </c>
      <c r="G166" s="12" t="s">
        <v>3493</v>
      </c>
      <c r="H166" s="12" t="s">
        <v>265</v>
      </c>
      <c r="I166" s="12" t="s">
        <v>3508</v>
      </c>
      <c r="J166" s="12" t="n">
        <v>16</v>
      </c>
      <c r="K166" s="12"/>
    </row>
    <row r="167" customFormat="false" ht="15" hidden="false" customHeight="false" outlineLevel="0" collapsed="false">
      <c r="A167" s="12" t="s">
        <v>248</v>
      </c>
      <c r="B167" s="12" t="s">
        <v>1432</v>
      </c>
      <c r="C167" s="12" t="s">
        <v>3482</v>
      </c>
      <c r="D167" s="12" t="s">
        <v>224</v>
      </c>
      <c r="E167" s="12" t="s">
        <v>224</v>
      </c>
      <c r="F167" s="12" t="s">
        <v>274</v>
      </c>
      <c r="G167" s="12" t="s">
        <v>274</v>
      </c>
      <c r="H167" s="12" t="s">
        <v>271</v>
      </c>
      <c r="I167" s="12" t="s">
        <v>3474</v>
      </c>
      <c r="J167" s="12" t="n">
        <v>4553</v>
      </c>
      <c r="K167" s="12"/>
    </row>
    <row r="168" customFormat="false" ht="15" hidden="false" customHeight="false" outlineLevel="0" collapsed="false">
      <c r="A168" s="12" t="s">
        <v>248</v>
      </c>
      <c r="B168" s="12" t="s">
        <v>1432</v>
      </c>
      <c r="C168" s="12" t="s">
        <v>3482</v>
      </c>
      <c r="D168" s="12" t="s">
        <v>224</v>
      </c>
      <c r="E168" s="12" t="s">
        <v>224</v>
      </c>
      <c r="F168" s="12" t="s">
        <v>274</v>
      </c>
      <c r="G168" s="12" t="s">
        <v>274</v>
      </c>
      <c r="H168" s="12" t="s">
        <v>271</v>
      </c>
      <c r="I168" s="12" t="s">
        <v>3509</v>
      </c>
      <c r="J168" s="12" t="n">
        <v>1692</v>
      </c>
      <c r="K168" s="12" t="s">
        <v>3512</v>
      </c>
    </row>
    <row r="169" customFormat="false" ht="15" hidden="false" customHeight="false" outlineLevel="0" collapsed="false">
      <c r="A169" s="12" t="s">
        <v>248</v>
      </c>
      <c r="B169" s="12" t="s">
        <v>1432</v>
      </c>
      <c r="C169" s="12" t="s">
        <v>3482</v>
      </c>
      <c r="D169" s="12" t="s">
        <v>224</v>
      </c>
      <c r="E169" s="12" t="s">
        <v>224</v>
      </c>
      <c r="F169" s="12" t="s">
        <v>274</v>
      </c>
      <c r="G169" s="12" t="s">
        <v>274</v>
      </c>
      <c r="H169" s="12" t="s">
        <v>271</v>
      </c>
      <c r="I169" s="12" t="s">
        <v>3508</v>
      </c>
      <c r="J169" s="12" t="n">
        <v>1702</v>
      </c>
      <c r="K169" s="12"/>
    </row>
    <row r="170" customFormat="false" ht="15" hidden="false" customHeight="false" outlineLevel="0" collapsed="false">
      <c r="A170" s="12" t="s">
        <v>248</v>
      </c>
      <c r="B170" s="12" t="s">
        <v>1432</v>
      </c>
      <c r="C170" s="12" t="s">
        <v>3482</v>
      </c>
      <c r="D170" s="12" t="s">
        <v>224</v>
      </c>
      <c r="E170" s="12" t="s">
        <v>224</v>
      </c>
      <c r="F170" s="12" t="s">
        <v>3494</v>
      </c>
      <c r="G170" s="12" t="s">
        <v>3495</v>
      </c>
      <c r="H170" s="12" t="s">
        <v>1299</v>
      </c>
      <c r="I170" s="12" t="s">
        <v>3474</v>
      </c>
      <c r="J170" s="12" t="n">
        <v>387616</v>
      </c>
      <c r="K170" s="12"/>
    </row>
    <row r="171" customFormat="false" ht="15" hidden="false" customHeight="false" outlineLevel="0" collapsed="false">
      <c r="A171" s="12" t="s">
        <v>248</v>
      </c>
      <c r="B171" s="12" t="s">
        <v>1432</v>
      </c>
      <c r="C171" s="12" t="s">
        <v>3482</v>
      </c>
      <c r="D171" s="12" t="s">
        <v>224</v>
      </c>
      <c r="E171" s="12" t="s">
        <v>224</v>
      </c>
      <c r="F171" s="12" t="s">
        <v>3494</v>
      </c>
      <c r="G171" s="12" t="s">
        <v>3495</v>
      </c>
      <c r="H171" s="12" t="s">
        <v>1299</v>
      </c>
      <c r="I171" s="12" t="s">
        <v>3509</v>
      </c>
      <c r="J171" s="12" t="n">
        <v>0</v>
      </c>
      <c r="K171" s="12" t="s">
        <v>3512</v>
      </c>
    </row>
    <row r="172" customFormat="false" ht="15" hidden="false" customHeight="false" outlineLevel="0" collapsed="false">
      <c r="A172" s="12" t="s">
        <v>248</v>
      </c>
      <c r="B172" s="12" t="s">
        <v>1432</v>
      </c>
      <c r="C172" s="12" t="s">
        <v>3482</v>
      </c>
      <c r="D172" s="12" t="s">
        <v>224</v>
      </c>
      <c r="E172" s="12" t="s">
        <v>224</v>
      </c>
      <c r="F172" s="12" t="s">
        <v>3494</v>
      </c>
      <c r="G172" s="12" t="s">
        <v>3495</v>
      </c>
      <c r="H172" s="12" t="s">
        <v>1299</v>
      </c>
      <c r="I172" s="12" t="s">
        <v>3508</v>
      </c>
      <c r="J172" s="12" t="n">
        <v>828</v>
      </c>
      <c r="K172" s="12"/>
    </row>
    <row r="173" customFormat="false" ht="15" hidden="false" customHeight="false" outlineLevel="0" collapsed="false">
      <c r="A173" s="12" t="s">
        <v>248</v>
      </c>
      <c r="B173" s="12" t="s">
        <v>1432</v>
      </c>
      <c r="C173" s="12" t="s">
        <v>3482</v>
      </c>
      <c r="D173" s="12" t="s">
        <v>224</v>
      </c>
      <c r="E173" s="12" t="s">
        <v>224</v>
      </c>
      <c r="F173" s="12" t="s">
        <v>3496</v>
      </c>
      <c r="G173" s="12" t="s">
        <v>3496</v>
      </c>
      <c r="H173" s="12" t="s">
        <v>1290</v>
      </c>
      <c r="I173" s="12" t="s">
        <v>3509</v>
      </c>
      <c r="J173" s="12" t="n">
        <v>0</v>
      </c>
      <c r="K173" s="12" t="s">
        <v>3512</v>
      </c>
    </row>
    <row r="174" customFormat="false" ht="15" hidden="false" customHeight="false" outlineLevel="0" collapsed="false">
      <c r="A174" s="12" t="s">
        <v>248</v>
      </c>
      <c r="B174" s="12" t="s">
        <v>1432</v>
      </c>
      <c r="C174" s="12" t="s">
        <v>3482</v>
      </c>
      <c r="D174" s="12" t="s">
        <v>224</v>
      </c>
      <c r="E174" s="12" t="s">
        <v>224</v>
      </c>
      <c r="F174" s="12" t="s">
        <v>3496</v>
      </c>
      <c r="G174" s="12" t="s">
        <v>3496</v>
      </c>
      <c r="H174" s="12" t="s">
        <v>1290</v>
      </c>
      <c r="I174" s="12" t="s">
        <v>3508</v>
      </c>
      <c r="J174" s="12" t="n">
        <v>15</v>
      </c>
      <c r="K174" s="12"/>
    </row>
    <row r="175" customFormat="false" ht="15" hidden="false" customHeight="false" outlineLevel="0" collapsed="false">
      <c r="A175" s="12" t="s">
        <v>248</v>
      </c>
      <c r="B175" s="12" t="s">
        <v>1432</v>
      </c>
      <c r="C175" s="12" t="s">
        <v>3482</v>
      </c>
      <c r="D175" s="12" t="s">
        <v>224</v>
      </c>
      <c r="E175" s="12" t="s">
        <v>224</v>
      </c>
      <c r="F175" s="12" t="s">
        <v>3518</v>
      </c>
      <c r="G175" s="12" t="s">
        <v>3531</v>
      </c>
      <c r="H175" s="12" t="s">
        <v>1228</v>
      </c>
      <c r="I175" s="12" t="s">
        <v>3474</v>
      </c>
      <c r="J175" s="12" t="n">
        <v>3465</v>
      </c>
      <c r="K175" s="12"/>
    </row>
    <row r="176" customFormat="false" ht="15" hidden="false" customHeight="false" outlineLevel="0" collapsed="false">
      <c r="A176" s="12" t="s">
        <v>248</v>
      </c>
      <c r="B176" s="12" t="s">
        <v>1432</v>
      </c>
      <c r="C176" s="12" t="s">
        <v>3482</v>
      </c>
      <c r="D176" s="12" t="s">
        <v>224</v>
      </c>
      <c r="E176" s="12" t="s">
        <v>224</v>
      </c>
      <c r="F176" s="12" t="s">
        <v>3518</v>
      </c>
      <c r="G176" s="12" t="s">
        <v>3531</v>
      </c>
      <c r="H176" s="12" t="s">
        <v>1228</v>
      </c>
      <c r="I176" s="12" t="s">
        <v>3509</v>
      </c>
      <c r="J176" s="12" t="n">
        <v>0</v>
      </c>
      <c r="K176" s="12" t="s">
        <v>3512</v>
      </c>
    </row>
    <row r="177" customFormat="false" ht="15" hidden="false" customHeight="false" outlineLevel="0" collapsed="false">
      <c r="A177" s="12" t="s">
        <v>248</v>
      </c>
      <c r="B177" s="12" t="s">
        <v>1432</v>
      </c>
      <c r="C177" s="12" t="s">
        <v>3482</v>
      </c>
      <c r="D177" s="12" t="s">
        <v>224</v>
      </c>
      <c r="E177" s="12" t="s">
        <v>224</v>
      </c>
      <c r="F177" s="12" t="s">
        <v>3518</v>
      </c>
      <c r="G177" s="12" t="s">
        <v>3531</v>
      </c>
      <c r="H177" s="12" t="s">
        <v>1228</v>
      </c>
      <c r="I177" s="12" t="s">
        <v>3508</v>
      </c>
      <c r="J177" s="12" t="n">
        <v>1</v>
      </c>
      <c r="K177" s="12"/>
    </row>
    <row r="178" customFormat="false" ht="15" hidden="false" customHeight="false" outlineLevel="0" collapsed="false">
      <c r="A178" s="12" t="s">
        <v>248</v>
      </c>
      <c r="B178" s="12" t="s">
        <v>1432</v>
      </c>
      <c r="C178" s="12" t="s">
        <v>3482</v>
      </c>
      <c r="D178" s="12" t="s">
        <v>3479</v>
      </c>
      <c r="E178" s="12" t="s">
        <v>3480</v>
      </c>
      <c r="F178" s="12" t="s">
        <v>3497</v>
      </c>
      <c r="G178" s="12" t="s">
        <v>3479</v>
      </c>
      <c r="H178" s="12" t="s">
        <v>827</v>
      </c>
      <c r="I178" s="12" t="s">
        <v>3474</v>
      </c>
      <c r="J178" s="12" t="n">
        <v>3538745</v>
      </c>
      <c r="K178" s="12" t="s">
        <v>3483</v>
      </c>
    </row>
    <row r="179" customFormat="false" ht="15" hidden="false" customHeight="false" outlineLevel="0" collapsed="false">
      <c r="A179" s="12" t="s">
        <v>248</v>
      </c>
      <c r="B179" s="12" t="s">
        <v>1432</v>
      </c>
      <c r="C179" s="12" t="s">
        <v>3482</v>
      </c>
      <c r="D179" s="12" t="s">
        <v>3521</v>
      </c>
      <c r="E179" s="12" t="s">
        <v>3521</v>
      </c>
      <c r="F179" s="12" t="s">
        <v>3522</v>
      </c>
      <c r="G179" s="12" t="s">
        <v>3523</v>
      </c>
      <c r="H179" s="12" t="s">
        <v>251</v>
      </c>
      <c r="I179" s="12" t="s">
        <v>3474</v>
      </c>
      <c r="J179" s="12" t="n">
        <v>1741654</v>
      </c>
      <c r="K179" s="12"/>
    </row>
    <row r="180" customFormat="false" ht="15" hidden="false" customHeight="false" outlineLevel="0" collapsed="false">
      <c r="A180" s="12" t="s">
        <v>248</v>
      </c>
      <c r="B180" s="12" t="s">
        <v>1432</v>
      </c>
      <c r="C180" s="12" t="s">
        <v>3482</v>
      </c>
      <c r="D180" s="12" t="s">
        <v>3521</v>
      </c>
      <c r="E180" s="12" t="s">
        <v>3521</v>
      </c>
      <c r="F180" s="12" t="s">
        <v>3522</v>
      </c>
      <c r="G180" s="12" t="s">
        <v>3523</v>
      </c>
      <c r="H180" s="12" t="s">
        <v>251</v>
      </c>
      <c r="I180" s="12" t="s">
        <v>3509</v>
      </c>
      <c r="J180" s="12" t="n">
        <v>82382</v>
      </c>
      <c r="K180" s="12" t="s">
        <v>3512</v>
      </c>
    </row>
    <row r="181" customFormat="false" ht="15" hidden="false" customHeight="false" outlineLevel="0" collapsed="false">
      <c r="A181" s="12" t="s">
        <v>248</v>
      </c>
      <c r="B181" s="12" t="s">
        <v>1432</v>
      </c>
      <c r="C181" s="12" t="s">
        <v>3482</v>
      </c>
      <c r="D181" s="12" t="s">
        <v>3521</v>
      </c>
      <c r="E181" s="12" t="s">
        <v>3521</v>
      </c>
      <c r="F181" s="12" t="s">
        <v>3522</v>
      </c>
      <c r="G181" s="12" t="s">
        <v>3523</v>
      </c>
      <c r="H181" s="12" t="s">
        <v>251</v>
      </c>
      <c r="I181" s="12" t="s">
        <v>3508</v>
      </c>
      <c r="J181" s="12" t="n">
        <v>2162694</v>
      </c>
      <c r="K181" s="12"/>
    </row>
    <row r="182" customFormat="false" ht="15" hidden="false" customHeight="false" outlineLevel="0" collapsed="false">
      <c r="A182" s="12" t="s">
        <v>248</v>
      </c>
      <c r="B182" s="12" t="s">
        <v>1432</v>
      </c>
      <c r="C182" s="12" t="s">
        <v>3482</v>
      </c>
      <c r="D182" s="12" t="s">
        <v>240</v>
      </c>
      <c r="E182" s="12" t="s">
        <v>240</v>
      </c>
      <c r="F182" s="12" t="s">
        <v>3498</v>
      </c>
      <c r="G182" s="12" t="s">
        <v>3499</v>
      </c>
      <c r="H182" s="12" t="s">
        <v>239</v>
      </c>
      <c r="I182" s="12" t="s">
        <v>3474</v>
      </c>
      <c r="J182" s="12" t="n">
        <v>447</v>
      </c>
      <c r="K182" s="12"/>
    </row>
    <row r="183" customFormat="false" ht="15" hidden="false" customHeight="false" outlineLevel="0" collapsed="false">
      <c r="A183" s="12" t="s">
        <v>248</v>
      </c>
      <c r="B183" s="12" t="s">
        <v>1432</v>
      </c>
      <c r="C183" s="12" t="s">
        <v>3482</v>
      </c>
      <c r="D183" s="12" t="s">
        <v>240</v>
      </c>
      <c r="E183" s="12" t="s">
        <v>240</v>
      </c>
      <c r="F183" s="12" t="s">
        <v>3498</v>
      </c>
      <c r="G183" s="12" t="s">
        <v>3499</v>
      </c>
      <c r="H183" s="12" t="s">
        <v>239</v>
      </c>
      <c r="I183" s="12" t="s">
        <v>3509</v>
      </c>
      <c r="J183" s="12" t="n">
        <v>4</v>
      </c>
      <c r="K183" s="12" t="s">
        <v>3512</v>
      </c>
    </row>
    <row r="184" customFormat="false" ht="15" hidden="false" customHeight="false" outlineLevel="0" collapsed="false">
      <c r="A184" s="12" t="s">
        <v>248</v>
      </c>
      <c r="B184" s="12" t="s">
        <v>1432</v>
      </c>
      <c r="C184" s="12" t="s">
        <v>3482</v>
      </c>
      <c r="D184" s="12" t="s">
        <v>240</v>
      </c>
      <c r="E184" s="12" t="s">
        <v>240</v>
      </c>
      <c r="F184" s="12" t="s">
        <v>3498</v>
      </c>
      <c r="G184" s="12" t="s">
        <v>3499</v>
      </c>
      <c r="H184" s="12" t="s">
        <v>239</v>
      </c>
      <c r="I184" s="12" t="s">
        <v>3508</v>
      </c>
      <c r="J184" s="12" t="n">
        <v>987</v>
      </c>
      <c r="K184" s="12"/>
    </row>
    <row r="185" customFormat="false" ht="15" hidden="false" customHeight="false" outlineLevel="0" collapsed="false">
      <c r="A185" s="12" t="s">
        <v>248</v>
      </c>
      <c r="B185" s="12" t="s">
        <v>1432</v>
      </c>
      <c r="C185" s="12" t="s">
        <v>3482</v>
      </c>
      <c r="D185" s="12" t="s">
        <v>232</v>
      </c>
      <c r="E185" s="12" t="s">
        <v>232</v>
      </c>
      <c r="F185" s="12" t="s">
        <v>3524</v>
      </c>
      <c r="G185" s="12" t="s">
        <v>3524</v>
      </c>
      <c r="H185" s="12" t="s">
        <v>665</v>
      </c>
      <c r="I185" s="12" t="s">
        <v>3474</v>
      </c>
      <c r="J185" s="12" t="n">
        <v>0</v>
      </c>
      <c r="K185" s="12"/>
    </row>
    <row r="186" customFormat="false" ht="15" hidden="false" customHeight="false" outlineLevel="0" collapsed="false">
      <c r="A186" s="12" t="s">
        <v>248</v>
      </c>
      <c r="B186" s="12" t="s">
        <v>1432</v>
      </c>
      <c r="C186" s="12" t="s">
        <v>3482</v>
      </c>
      <c r="D186" s="12" t="s">
        <v>232</v>
      </c>
      <c r="E186" s="12" t="s">
        <v>232</v>
      </c>
      <c r="F186" s="12" t="s">
        <v>3524</v>
      </c>
      <c r="G186" s="12" t="s">
        <v>3524</v>
      </c>
      <c r="H186" s="12" t="s">
        <v>665</v>
      </c>
      <c r="I186" s="12" t="s">
        <v>3509</v>
      </c>
      <c r="J186" s="12" t="n">
        <v>18098</v>
      </c>
      <c r="K186" s="12" t="s">
        <v>3512</v>
      </c>
    </row>
    <row r="187" customFormat="false" ht="15" hidden="false" customHeight="false" outlineLevel="0" collapsed="false">
      <c r="A187" s="12" t="s">
        <v>248</v>
      </c>
      <c r="B187" s="12" t="s">
        <v>1432</v>
      </c>
      <c r="C187" s="12" t="s">
        <v>3482</v>
      </c>
      <c r="D187" s="12" t="s">
        <v>232</v>
      </c>
      <c r="E187" s="12" t="s">
        <v>232</v>
      </c>
      <c r="F187" s="12" t="s">
        <v>3524</v>
      </c>
      <c r="G187" s="12" t="s">
        <v>3524</v>
      </c>
      <c r="H187" s="12" t="s">
        <v>665</v>
      </c>
      <c r="I187" s="12" t="s">
        <v>3508</v>
      </c>
      <c r="J187" s="12" t="n">
        <v>160183</v>
      </c>
      <c r="K187" s="12"/>
    </row>
    <row r="188" customFormat="false" ht="15" hidden="false" customHeight="false" outlineLevel="0" collapsed="false">
      <c r="A188" s="12" t="s">
        <v>248</v>
      </c>
      <c r="B188" s="12" t="s">
        <v>1432</v>
      </c>
      <c r="C188" s="12" t="s">
        <v>3482</v>
      </c>
      <c r="D188" s="12" t="s">
        <v>232</v>
      </c>
      <c r="E188" s="12" t="s">
        <v>232</v>
      </c>
      <c r="F188" s="12" t="s">
        <v>3525</v>
      </c>
      <c r="G188" s="12" t="s">
        <v>3525</v>
      </c>
      <c r="H188" s="12" t="s">
        <v>665</v>
      </c>
      <c r="I188" s="12" t="s">
        <v>3474</v>
      </c>
      <c r="J188" s="12" t="n">
        <v>316434</v>
      </c>
      <c r="K188" s="12"/>
    </row>
    <row r="189" customFormat="false" ht="15" hidden="false" customHeight="false" outlineLevel="0" collapsed="false">
      <c r="A189" s="12" t="s">
        <v>248</v>
      </c>
      <c r="B189" s="12" t="s">
        <v>1432</v>
      </c>
      <c r="C189" s="12" t="s">
        <v>3482</v>
      </c>
      <c r="D189" s="12" t="s">
        <v>232</v>
      </c>
      <c r="E189" s="12" t="s">
        <v>232</v>
      </c>
      <c r="F189" s="12" t="s">
        <v>3525</v>
      </c>
      <c r="G189" s="12" t="s">
        <v>3525</v>
      </c>
      <c r="H189" s="12" t="s">
        <v>665</v>
      </c>
      <c r="I189" s="12" t="s">
        <v>3509</v>
      </c>
      <c r="J189" s="12" t="n">
        <v>44</v>
      </c>
      <c r="K189" s="12" t="s">
        <v>3512</v>
      </c>
    </row>
    <row r="190" customFormat="false" ht="15" hidden="false" customHeight="false" outlineLevel="0" collapsed="false">
      <c r="A190" s="12" t="s">
        <v>248</v>
      </c>
      <c r="B190" s="12" t="s">
        <v>1432</v>
      </c>
      <c r="C190" s="12" t="s">
        <v>3482</v>
      </c>
      <c r="D190" s="12" t="s">
        <v>232</v>
      </c>
      <c r="E190" s="12" t="s">
        <v>232</v>
      </c>
      <c r="F190" s="12" t="s">
        <v>3525</v>
      </c>
      <c r="G190" s="12" t="s">
        <v>3525</v>
      </c>
      <c r="H190" s="12" t="s">
        <v>665</v>
      </c>
      <c r="I190" s="12" t="s">
        <v>3508</v>
      </c>
      <c r="J190" s="12" t="n">
        <v>185</v>
      </c>
      <c r="K190" s="12"/>
    </row>
    <row r="191" customFormat="false" ht="15" hidden="false" customHeight="false" outlineLevel="0" collapsed="false">
      <c r="A191" s="12" t="s">
        <v>248</v>
      </c>
      <c r="B191" s="12" t="s">
        <v>1432</v>
      </c>
      <c r="C191" s="12" t="s">
        <v>3482</v>
      </c>
      <c r="D191" s="12" t="s">
        <v>232</v>
      </c>
      <c r="E191" s="12" t="s">
        <v>232</v>
      </c>
      <c r="F191" s="12" t="s">
        <v>3500</v>
      </c>
      <c r="G191" s="12" t="s">
        <v>3500</v>
      </c>
      <c r="H191" s="12" t="s">
        <v>821</v>
      </c>
      <c r="I191" s="12" t="s">
        <v>3474</v>
      </c>
      <c r="J191" s="12" t="n">
        <v>4474</v>
      </c>
      <c r="K191" s="12"/>
    </row>
    <row r="192" customFormat="false" ht="15" hidden="false" customHeight="false" outlineLevel="0" collapsed="false">
      <c r="A192" s="12" t="s">
        <v>248</v>
      </c>
      <c r="B192" s="12" t="s">
        <v>1432</v>
      </c>
      <c r="C192" s="12" t="s">
        <v>3482</v>
      </c>
      <c r="D192" s="12" t="s">
        <v>232</v>
      </c>
      <c r="E192" s="12" t="s">
        <v>232</v>
      </c>
      <c r="F192" s="12" t="s">
        <v>3500</v>
      </c>
      <c r="G192" s="12" t="s">
        <v>3500</v>
      </c>
      <c r="H192" s="12" t="s">
        <v>821</v>
      </c>
      <c r="I192" s="12" t="s">
        <v>3509</v>
      </c>
      <c r="J192" s="12" t="n">
        <v>0</v>
      </c>
      <c r="K192" s="12" t="s">
        <v>3512</v>
      </c>
    </row>
    <row r="193" customFormat="false" ht="15" hidden="false" customHeight="false" outlineLevel="0" collapsed="false">
      <c r="A193" s="12" t="s">
        <v>248</v>
      </c>
      <c r="B193" s="12" t="s">
        <v>1432</v>
      </c>
      <c r="C193" s="12" t="s">
        <v>3482</v>
      </c>
      <c r="D193" s="12" t="s">
        <v>232</v>
      </c>
      <c r="E193" s="12" t="s">
        <v>232</v>
      </c>
      <c r="F193" s="12" t="s">
        <v>3500</v>
      </c>
      <c r="G193" s="12" t="s">
        <v>3500</v>
      </c>
      <c r="H193" s="12" t="s">
        <v>821</v>
      </c>
      <c r="I193" s="12" t="s">
        <v>3508</v>
      </c>
      <c r="J193" s="12" t="n">
        <v>31</v>
      </c>
      <c r="K193" s="12"/>
    </row>
    <row r="194" customFormat="false" ht="15" hidden="false" customHeight="false" outlineLevel="0" collapsed="false">
      <c r="A194" s="12" t="s">
        <v>248</v>
      </c>
      <c r="B194" s="12" t="s">
        <v>1432</v>
      </c>
      <c r="C194" s="12" t="s">
        <v>3482</v>
      </c>
      <c r="D194" s="12" t="s">
        <v>232</v>
      </c>
      <c r="E194" s="12" t="s">
        <v>232</v>
      </c>
      <c r="F194" s="12" t="s">
        <v>3501</v>
      </c>
      <c r="G194" s="12" t="s">
        <v>3501</v>
      </c>
      <c r="H194" s="12" t="s">
        <v>1346</v>
      </c>
      <c r="I194" s="12" t="s">
        <v>3474</v>
      </c>
      <c r="J194" s="12" t="n">
        <v>43556</v>
      </c>
      <c r="K194" s="12"/>
    </row>
    <row r="195" customFormat="false" ht="15" hidden="false" customHeight="false" outlineLevel="0" collapsed="false">
      <c r="A195" s="12" t="s">
        <v>248</v>
      </c>
      <c r="B195" s="12" t="s">
        <v>1432</v>
      </c>
      <c r="C195" s="12" t="s">
        <v>3482</v>
      </c>
      <c r="D195" s="12" t="s">
        <v>232</v>
      </c>
      <c r="E195" s="12" t="s">
        <v>232</v>
      </c>
      <c r="F195" s="12" t="s">
        <v>3501</v>
      </c>
      <c r="G195" s="12" t="s">
        <v>3501</v>
      </c>
      <c r="H195" s="12" t="s">
        <v>1346</v>
      </c>
      <c r="I195" s="12" t="s">
        <v>3509</v>
      </c>
      <c r="J195" s="12" t="n">
        <v>0</v>
      </c>
      <c r="K195" s="12" t="s">
        <v>3512</v>
      </c>
    </row>
    <row r="196" customFormat="false" ht="15" hidden="false" customHeight="false" outlineLevel="0" collapsed="false">
      <c r="A196" s="12" t="s">
        <v>248</v>
      </c>
      <c r="B196" s="12" t="s">
        <v>1432</v>
      </c>
      <c r="C196" s="12" t="s">
        <v>3482</v>
      </c>
      <c r="D196" s="12" t="s">
        <v>232</v>
      </c>
      <c r="E196" s="12" t="s">
        <v>232</v>
      </c>
      <c r="F196" s="12" t="s">
        <v>3501</v>
      </c>
      <c r="G196" s="12" t="s">
        <v>3501</v>
      </c>
      <c r="H196" s="12" t="s">
        <v>1346</v>
      </c>
      <c r="I196" s="12" t="s">
        <v>3508</v>
      </c>
      <c r="J196" s="12" t="n">
        <v>6084</v>
      </c>
      <c r="K196" s="12"/>
    </row>
    <row r="197" customFormat="false" ht="15" hidden="false" customHeight="false" outlineLevel="0" collapsed="false">
      <c r="A197" s="12" t="s">
        <v>248</v>
      </c>
      <c r="B197" s="12" t="s">
        <v>1432</v>
      </c>
      <c r="C197" s="12" t="s">
        <v>3482</v>
      </c>
      <c r="D197" s="12" t="s">
        <v>232</v>
      </c>
      <c r="E197" s="12" t="s">
        <v>232</v>
      </c>
      <c r="F197" s="12" t="s">
        <v>3492</v>
      </c>
      <c r="G197" s="12" t="s">
        <v>3492</v>
      </c>
      <c r="H197" s="12" t="s">
        <v>853</v>
      </c>
      <c r="I197" s="12" t="s">
        <v>3474</v>
      </c>
      <c r="J197" s="12" t="n">
        <v>21188847</v>
      </c>
      <c r="K197" s="12"/>
    </row>
    <row r="198" customFormat="false" ht="15" hidden="false" customHeight="false" outlineLevel="0" collapsed="false">
      <c r="A198" s="12" t="s">
        <v>248</v>
      </c>
      <c r="B198" s="12" t="s">
        <v>1432</v>
      </c>
      <c r="C198" s="12" t="s">
        <v>3482</v>
      </c>
      <c r="D198" s="12" t="s">
        <v>232</v>
      </c>
      <c r="E198" s="12" t="s">
        <v>232</v>
      </c>
      <c r="F198" s="12" t="s">
        <v>3492</v>
      </c>
      <c r="G198" s="12" t="s">
        <v>3492</v>
      </c>
      <c r="H198" s="12" t="s">
        <v>853</v>
      </c>
      <c r="I198" s="12" t="s">
        <v>3509</v>
      </c>
      <c r="J198" s="12" t="n">
        <v>7402793</v>
      </c>
      <c r="K198" s="12" t="s">
        <v>3512</v>
      </c>
    </row>
    <row r="199" customFormat="false" ht="15" hidden="false" customHeight="false" outlineLevel="0" collapsed="false">
      <c r="A199" s="12" t="s">
        <v>248</v>
      </c>
      <c r="B199" s="12" t="s">
        <v>1432</v>
      </c>
      <c r="C199" s="12" t="s">
        <v>3482</v>
      </c>
      <c r="D199" s="12" t="s">
        <v>232</v>
      </c>
      <c r="E199" s="12" t="s">
        <v>232</v>
      </c>
      <c r="F199" s="12" t="s">
        <v>3492</v>
      </c>
      <c r="G199" s="12" t="s">
        <v>3492</v>
      </c>
      <c r="H199" s="12" t="s">
        <v>853</v>
      </c>
      <c r="I199" s="12" t="s">
        <v>3508</v>
      </c>
      <c r="J199" s="12" t="n">
        <v>475045928</v>
      </c>
      <c r="K199" s="12"/>
    </row>
    <row r="200" customFormat="false" ht="15" hidden="false" customHeight="false" outlineLevel="0" collapsed="false">
      <c r="A200" s="12" t="s">
        <v>248</v>
      </c>
      <c r="B200" s="12" t="s">
        <v>1432</v>
      </c>
      <c r="C200" s="12" t="s">
        <v>3482</v>
      </c>
      <c r="D200" s="12" t="s">
        <v>232</v>
      </c>
      <c r="E200" s="12" t="s">
        <v>232</v>
      </c>
      <c r="F200" s="12" t="s">
        <v>3502</v>
      </c>
      <c r="G200" s="12" t="s">
        <v>3502</v>
      </c>
      <c r="H200" s="12" t="s">
        <v>1346</v>
      </c>
      <c r="I200" s="12" t="s">
        <v>3474</v>
      </c>
      <c r="J200" s="12" t="n">
        <v>9</v>
      </c>
      <c r="K200" s="12"/>
    </row>
    <row r="201" customFormat="false" ht="15" hidden="false" customHeight="false" outlineLevel="0" collapsed="false">
      <c r="A201" s="12" t="s">
        <v>248</v>
      </c>
      <c r="B201" s="12" t="s">
        <v>1432</v>
      </c>
      <c r="C201" s="12" t="s">
        <v>3482</v>
      </c>
      <c r="D201" s="12" t="s">
        <v>3481</v>
      </c>
      <c r="E201" s="12" t="s">
        <v>3478</v>
      </c>
      <c r="F201" s="12" t="s">
        <v>3504</v>
      </c>
      <c r="G201" s="12" t="s">
        <v>3526</v>
      </c>
      <c r="H201" s="12" t="s">
        <v>848</v>
      </c>
      <c r="I201" s="12" t="s">
        <v>3509</v>
      </c>
      <c r="J201" s="12" t="n">
        <v>0</v>
      </c>
      <c r="K201" s="12" t="s">
        <v>3512</v>
      </c>
    </row>
    <row r="202" customFormat="false" ht="15" hidden="false" customHeight="false" outlineLevel="0" collapsed="false">
      <c r="A202" s="12" t="s">
        <v>248</v>
      </c>
      <c r="B202" s="12" t="s">
        <v>1432</v>
      </c>
      <c r="C202" s="12" t="s">
        <v>3482</v>
      </c>
      <c r="D202" s="12" t="s">
        <v>3481</v>
      </c>
      <c r="E202" s="12" t="s">
        <v>3478</v>
      </c>
      <c r="F202" s="12" t="s">
        <v>3504</v>
      </c>
      <c r="G202" s="12" t="s">
        <v>3526</v>
      </c>
      <c r="H202" s="12" t="s">
        <v>848</v>
      </c>
      <c r="I202" s="12" t="s">
        <v>3508</v>
      </c>
      <c r="J202" s="12" t="n">
        <v>1258</v>
      </c>
      <c r="K202" s="12"/>
    </row>
    <row r="203" customFormat="false" ht="15" hidden="false" customHeight="false" outlineLevel="0" collapsed="false">
      <c r="A203" s="12" t="s">
        <v>248</v>
      </c>
      <c r="B203" s="12" t="s">
        <v>1432</v>
      </c>
      <c r="C203" s="12" t="s">
        <v>3482</v>
      </c>
      <c r="D203" s="12" t="s">
        <v>3481</v>
      </c>
      <c r="E203" s="12" t="s">
        <v>3478</v>
      </c>
      <c r="F203" s="12" t="s">
        <v>3504</v>
      </c>
      <c r="G203" s="12" t="s">
        <v>3481</v>
      </c>
      <c r="H203" s="12" t="s">
        <v>848</v>
      </c>
      <c r="I203" s="12" t="s">
        <v>3474</v>
      </c>
      <c r="J203" s="12" t="n">
        <v>14397704</v>
      </c>
      <c r="K203" s="12" t="s">
        <v>3483</v>
      </c>
    </row>
  </sheetData>
  <autoFilter ref="A1:K2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30"/>
    <col collapsed="false" customWidth="true" hidden="false" outlineLevel="0" max="4" min="3" style="0" width="10"/>
    <col collapsed="false" customWidth="true" hidden="false" outlineLevel="0" max="5" min="5" style="0" width="11"/>
    <col collapsed="false" customWidth="true" hidden="false" outlineLevel="0" max="6" min="6" style="0" width="26"/>
    <col collapsed="false" customWidth="true" hidden="false" outlineLevel="0" max="7" min="7" style="0" width="60"/>
    <col collapsed="false" customWidth="true" hidden="false" outlineLevel="0" max="8" min="8" style="0" width="15"/>
    <col collapsed="false" customWidth="true" hidden="false" outlineLevel="0" max="10" min="9" style="0" width="14"/>
  </cols>
  <sheetData>
    <row r="1" customFormat="false" ht="35.05" hidden="false" customHeight="false" outlineLevel="0" collapsed="false">
      <c r="A1" s="11" t="s">
        <v>95</v>
      </c>
      <c r="B1" s="11" t="s">
        <v>3532</v>
      </c>
      <c r="C1" s="11" t="s">
        <v>3533</v>
      </c>
      <c r="D1" s="11" t="s">
        <v>99</v>
      </c>
      <c r="E1" s="11" t="s">
        <v>3534</v>
      </c>
      <c r="F1" s="11" t="s">
        <v>3535</v>
      </c>
      <c r="G1" s="11" t="s">
        <v>3536</v>
      </c>
      <c r="H1" s="11" t="s">
        <v>3537</v>
      </c>
      <c r="I1" s="11" t="s">
        <v>3538</v>
      </c>
      <c r="J1" s="5" t="s">
        <v>3539</v>
      </c>
    </row>
    <row r="2" customFormat="false" ht="23.85" hidden="false" customHeight="false" outlineLevel="0" collapsed="false">
      <c r="A2" s="12" t="s">
        <v>150</v>
      </c>
      <c r="B2" s="12" t="s">
        <v>3540</v>
      </c>
      <c r="C2" s="12" t="s">
        <v>3541</v>
      </c>
      <c r="D2" s="12"/>
      <c r="E2" s="12"/>
      <c r="F2" s="12"/>
      <c r="G2" s="13" t="s">
        <v>3542</v>
      </c>
      <c r="H2" s="12"/>
      <c r="I2" s="12" t="n">
        <f aca="false">COUNTIFS('All projects'!$J$2:$J$119,$A2,'All projects'!$D$2:$D$119,"active")</f>
        <v>39</v>
      </c>
      <c r="J2" s="19" t="n">
        <f aca="false">COUNTIFS('All projects'!$J$2:$J$119,$A2,'All projects'!$AB$2:$AB$119,"Implemented",'All projects'!$D$2:$D$119,"active")</f>
        <v>19</v>
      </c>
    </row>
    <row r="3" customFormat="false" ht="15" hidden="false" customHeight="false" outlineLevel="0" collapsed="false">
      <c r="A3" s="12" t="s">
        <v>618</v>
      </c>
      <c r="B3" s="12" t="s">
        <v>616</v>
      </c>
      <c r="C3" s="12" t="s">
        <v>20</v>
      </c>
      <c r="D3" s="12" t="s">
        <v>619</v>
      </c>
      <c r="E3" s="12" t="s">
        <v>150</v>
      </c>
      <c r="F3" s="12" t="s">
        <v>3543</v>
      </c>
      <c r="G3" s="13"/>
      <c r="H3" s="12" t="s">
        <v>2345</v>
      </c>
      <c r="I3" s="12" t="n">
        <f aca="false">COUNTIFS('All projects'!$J$2:$J$119,$A3,'All projects'!$D$2:$D$119,"active")</f>
        <v>7</v>
      </c>
      <c r="J3" s="19" t="n">
        <f aca="false">COUNTIFS('All projects'!$J$2:$J$119,$A3,'All projects'!$AB$2:$AB$119,"Implemented",'All projects'!$D$2:$D$119,"active")</f>
        <v>0</v>
      </c>
    </row>
    <row r="4" customFormat="false" ht="23.85" hidden="false" customHeight="false" outlineLevel="0" collapsed="false">
      <c r="A4" s="12" t="s">
        <v>3544</v>
      </c>
      <c r="B4" s="12" t="s">
        <v>3545</v>
      </c>
      <c r="C4" s="12" t="s">
        <v>20</v>
      </c>
      <c r="D4" s="12" t="s">
        <v>3546</v>
      </c>
      <c r="E4" s="12" t="s">
        <v>150</v>
      </c>
      <c r="F4" s="12" t="s">
        <v>3547</v>
      </c>
      <c r="G4" s="13" t="s">
        <v>3548</v>
      </c>
      <c r="H4" s="12" t="s">
        <v>2345</v>
      </c>
      <c r="I4" s="12" t="n">
        <f aca="false">COUNTIFS('All projects'!$J$2:$J$119,$A4,'All projects'!$D$2:$D$119,"active")</f>
        <v>0</v>
      </c>
      <c r="J4" s="19" t="n">
        <f aca="false">COUNTIFS('All projects'!$J$2:$J$119,$A4,'All projects'!$AB$2:$AB$119,"Implemented",'All projects'!$D$2:$D$119,"active")</f>
        <v>0</v>
      </c>
    </row>
    <row r="5" customFormat="false" ht="15" hidden="false" customHeight="false" outlineLevel="0" collapsed="false">
      <c r="A5" s="12" t="s">
        <v>687</v>
      </c>
      <c r="B5" s="12" t="s">
        <v>686</v>
      </c>
      <c r="C5" s="12" t="s">
        <v>20</v>
      </c>
      <c r="D5" s="12" t="s">
        <v>688</v>
      </c>
      <c r="E5" s="12" t="s">
        <v>150</v>
      </c>
      <c r="F5" s="12" t="s">
        <v>3543</v>
      </c>
      <c r="G5" s="13"/>
      <c r="H5" s="12" t="s">
        <v>2345</v>
      </c>
      <c r="I5" s="12" t="n">
        <f aca="false">COUNTIFS('All projects'!$J$2:$J$119,$A5,'All projects'!$D$2:$D$119,"active")</f>
        <v>1</v>
      </c>
      <c r="J5" s="19" t="n">
        <f aca="false">COUNTIFS('All projects'!$J$2:$J$119,$A5,'All projects'!$AB$2:$AB$119,"Implemented",'All projects'!$D$2:$D$119,"active")</f>
        <v>0</v>
      </c>
    </row>
    <row r="6" customFormat="false" ht="15" hidden="false" customHeight="false" outlineLevel="0" collapsed="false">
      <c r="A6" s="12" t="s">
        <v>697</v>
      </c>
      <c r="B6" s="12" t="s">
        <v>696</v>
      </c>
      <c r="C6" s="12" t="s">
        <v>20</v>
      </c>
      <c r="D6" s="12" t="s">
        <v>698</v>
      </c>
      <c r="E6" s="12" t="s">
        <v>150</v>
      </c>
      <c r="F6" s="12" t="s">
        <v>3549</v>
      </c>
      <c r="G6" s="13" t="s">
        <v>3550</v>
      </c>
      <c r="H6" s="12" t="s">
        <v>2345</v>
      </c>
      <c r="I6" s="12" t="n">
        <f aca="false">COUNTIFS('All projects'!$J$2:$J$119,$A6,'All projects'!$D$2:$D$119,"active")</f>
        <v>1</v>
      </c>
      <c r="J6" s="19" t="n">
        <f aca="false">COUNTIFS('All projects'!$J$2:$J$119,$A6,'All projects'!$AB$2:$AB$119,"Implemented",'All projects'!$D$2:$D$119,"active")</f>
        <v>0</v>
      </c>
    </row>
    <row r="7" customFormat="false" ht="15" hidden="false" customHeight="false" outlineLevel="0" collapsed="false">
      <c r="A7" s="12" t="s">
        <v>712</v>
      </c>
      <c r="B7" s="12" t="s">
        <v>711</v>
      </c>
      <c r="C7" s="12" t="s">
        <v>20</v>
      </c>
      <c r="D7" s="12" t="s">
        <v>713</v>
      </c>
      <c r="E7" s="12" t="s">
        <v>150</v>
      </c>
      <c r="F7" s="12" t="s">
        <v>3543</v>
      </c>
      <c r="G7" s="13"/>
      <c r="H7" s="12" t="s">
        <v>2345</v>
      </c>
      <c r="I7" s="12" t="n">
        <f aca="false">COUNTIFS('All projects'!$J$2:$J$119,$A7,'All projects'!$D$2:$D$119,"active")</f>
        <v>3</v>
      </c>
      <c r="J7" s="19" t="n">
        <f aca="false">COUNTIFS('All projects'!$J$2:$J$119,$A7,'All projects'!$AB$2:$AB$119,"Implemented",'All projects'!$D$2:$D$119,"active")</f>
        <v>2</v>
      </c>
    </row>
    <row r="8" customFormat="false" ht="15" hidden="false" customHeight="false" outlineLevel="0" collapsed="false">
      <c r="A8" s="12" t="s">
        <v>731</v>
      </c>
      <c r="B8" s="12" t="s">
        <v>730</v>
      </c>
      <c r="C8" s="12" t="s">
        <v>20</v>
      </c>
      <c r="D8" s="12" t="s">
        <v>732</v>
      </c>
      <c r="E8" s="12" t="s">
        <v>150</v>
      </c>
      <c r="F8" s="12" t="s">
        <v>3551</v>
      </c>
      <c r="G8" s="13"/>
      <c r="H8" s="12" t="s">
        <v>2345</v>
      </c>
      <c r="I8" s="12" t="n">
        <f aca="false">COUNTIFS('All projects'!$J$2:$J$119,$A8,'All projects'!$D$2:$D$119,"active")</f>
        <v>2</v>
      </c>
      <c r="J8" s="19" t="n">
        <f aca="false">COUNTIFS('All projects'!$J$2:$J$119,$A8,'All projects'!$AB$2:$AB$119,"Implemented",'All projects'!$D$2:$D$119,"active")</f>
        <v>0</v>
      </c>
    </row>
    <row r="9" customFormat="false" ht="23.85" hidden="false" customHeight="false" outlineLevel="0" collapsed="false">
      <c r="A9" s="12" t="s">
        <v>753</v>
      </c>
      <c r="B9" s="12" t="s">
        <v>752</v>
      </c>
      <c r="C9" s="12" t="s">
        <v>20</v>
      </c>
      <c r="D9" s="12" t="s">
        <v>754</v>
      </c>
      <c r="E9" s="12" t="s">
        <v>150</v>
      </c>
      <c r="F9" s="12" t="s">
        <v>3551</v>
      </c>
      <c r="G9" s="13" t="s">
        <v>3552</v>
      </c>
      <c r="H9" s="12" t="s">
        <v>2345</v>
      </c>
      <c r="I9" s="12" t="n">
        <f aca="false">COUNTIFS('All projects'!$J$2:$J$119,$A9,'All projects'!$D$2:$D$119,"active")</f>
        <v>2</v>
      </c>
      <c r="J9" s="19" t="n">
        <f aca="false">COUNTIFS('All projects'!$J$2:$J$119,$A9,'All projects'!$AB$2:$AB$119,"Implemented",'All projects'!$D$2:$D$119,"active")</f>
        <v>0</v>
      </c>
    </row>
    <row r="10" customFormat="false" ht="15" hidden="false" customHeight="false" outlineLevel="0" collapsed="false">
      <c r="A10" s="12" t="s">
        <v>775</v>
      </c>
      <c r="B10" s="12" t="s">
        <v>774</v>
      </c>
      <c r="C10" s="12" t="s">
        <v>20</v>
      </c>
      <c r="D10" s="12" t="s">
        <v>776</v>
      </c>
      <c r="E10" s="12" t="s">
        <v>150</v>
      </c>
      <c r="F10" s="12" t="s">
        <v>3543</v>
      </c>
      <c r="G10" s="13"/>
      <c r="H10" s="12" t="s">
        <v>2345</v>
      </c>
      <c r="I10" s="12" t="n">
        <f aca="false">COUNTIFS('All projects'!$J$2:$J$119,$A10,'All projects'!$D$2:$D$119,"active")</f>
        <v>2</v>
      </c>
      <c r="J10" s="19" t="n">
        <f aca="false">COUNTIFS('All projects'!$J$2:$J$119,$A10,'All projects'!$AB$2:$AB$119,"Implemented",'All projects'!$D$2:$D$119,"active")</f>
        <v>1</v>
      </c>
    </row>
    <row r="11" customFormat="false" ht="23.85" hidden="false" customHeight="false" outlineLevel="0" collapsed="false">
      <c r="A11" s="12" t="s">
        <v>801</v>
      </c>
      <c r="B11" s="12" t="s">
        <v>800</v>
      </c>
      <c r="C11" s="12" t="s">
        <v>20</v>
      </c>
      <c r="D11" s="12" t="s">
        <v>802</v>
      </c>
      <c r="E11" s="12" t="s">
        <v>150</v>
      </c>
      <c r="F11" s="12" t="s">
        <v>3551</v>
      </c>
      <c r="G11" s="13" t="s">
        <v>3553</v>
      </c>
      <c r="H11" s="12" t="s">
        <v>2345</v>
      </c>
      <c r="I11" s="12" t="n">
        <f aca="false">COUNTIFS('All projects'!$J$2:$J$119,$A11,'All projects'!$D$2:$D$119,"active")</f>
        <v>1</v>
      </c>
      <c r="J11" s="19" t="n">
        <f aca="false">COUNTIFS('All projects'!$J$2:$J$119,$A11,'All projects'!$AB$2:$AB$119,"Implemented",'All projects'!$D$2:$D$119,"active")</f>
        <v>0</v>
      </c>
    </row>
    <row r="12" customFormat="false" ht="15" hidden="false" customHeight="false" outlineLevel="0" collapsed="false">
      <c r="A12" s="12" t="s">
        <v>813</v>
      </c>
      <c r="B12" s="12" t="s">
        <v>812</v>
      </c>
      <c r="C12" s="12" t="s">
        <v>20</v>
      </c>
      <c r="D12" s="12" t="s">
        <v>814</v>
      </c>
      <c r="E12" s="12" t="s">
        <v>150</v>
      </c>
      <c r="F12" s="12" t="s">
        <v>3543</v>
      </c>
      <c r="G12" s="13"/>
      <c r="H12" s="12" t="s">
        <v>2345</v>
      </c>
      <c r="I12" s="12" t="n">
        <f aca="false">COUNTIFS('All projects'!$J$2:$J$119,$A12,'All projects'!$D$2:$D$119,"active")</f>
        <v>2</v>
      </c>
      <c r="J12" s="19" t="n">
        <f aca="false">COUNTIFS('All projects'!$J$2:$J$119,$A12,'All projects'!$AB$2:$AB$119,"Implemented",'All projects'!$D$2:$D$119,"active")</f>
        <v>2</v>
      </c>
    </row>
    <row r="13" customFormat="false" ht="23.85" hidden="false" customHeight="false" outlineLevel="0" collapsed="false">
      <c r="A13" s="12" t="s">
        <v>832</v>
      </c>
      <c r="B13" s="12" t="s">
        <v>831</v>
      </c>
      <c r="C13" s="12" t="s">
        <v>20</v>
      </c>
      <c r="D13" s="12" t="s">
        <v>833</v>
      </c>
      <c r="E13" s="12" t="s">
        <v>150</v>
      </c>
      <c r="F13" s="12" t="s">
        <v>3543</v>
      </c>
      <c r="G13" s="13" t="s">
        <v>3554</v>
      </c>
      <c r="H13" s="12" t="s">
        <v>2345</v>
      </c>
      <c r="I13" s="12" t="n">
        <f aca="false">COUNTIFS('All projects'!$J$2:$J$119,$A13,'All projects'!$D$2:$D$119,"active")</f>
        <v>8</v>
      </c>
      <c r="J13" s="19" t="n">
        <f aca="false">COUNTIFS('All projects'!$J$2:$J$119,$A13,'All projects'!$AB$2:$AB$119,"Implemented",'All projects'!$D$2:$D$119,"active")</f>
        <v>6</v>
      </c>
    </row>
    <row r="14" customFormat="false" ht="15" hidden="false" customHeight="false" outlineLevel="0" collapsed="false">
      <c r="A14" s="12" t="s">
        <v>883</v>
      </c>
      <c r="B14" s="12" t="s">
        <v>882</v>
      </c>
      <c r="C14" s="12" t="s">
        <v>20</v>
      </c>
      <c r="D14" s="12" t="s">
        <v>884</v>
      </c>
      <c r="E14" s="12" t="s">
        <v>150</v>
      </c>
      <c r="F14" s="12" t="s">
        <v>3543</v>
      </c>
      <c r="G14" s="13"/>
      <c r="H14" s="12" t="s">
        <v>2345</v>
      </c>
      <c r="I14" s="12" t="n">
        <f aca="false">COUNTIFS('All projects'!$J$2:$J$119,$A14,'All projects'!$D$2:$D$119,"active")</f>
        <v>4</v>
      </c>
      <c r="J14" s="19" t="n">
        <f aca="false">COUNTIFS('All projects'!$J$2:$J$119,$A14,'All projects'!$AB$2:$AB$119,"Implemented",'All projects'!$D$2:$D$119,"active")</f>
        <v>1</v>
      </c>
    </row>
    <row r="15" customFormat="false" ht="15" hidden="false" customHeight="false" outlineLevel="0" collapsed="false">
      <c r="A15" s="12" t="s">
        <v>921</v>
      </c>
      <c r="B15" s="12" t="s">
        <v>920</v>
      </c>
      <c r="C15" s="12" t="s">
        <v>20</v>
      </c>
      <c r="D15" s="12" t="s">
        <v>922</v>
      </c>
      <c r="E15" s="12" t="s">
        <v>150</v>
      </c>
      <c r="F15" s="12" t="s">
        <v>3543</v>
      </c>
      <c r="G15" s="13"/>
      <c r="H15" s="12" t="s">
        <v>2345</v>
      </c>
      <c r="I15" s="12" t="n">
        <f aca="false">COUNTIFS('All projects'!$J$2:$J$119,$A15,'All projects'!$D$2:$D$119,"active")</f>
        <v>2</v>
      </c>
      <c r="J15" s="19" t="n">
        <f aca="false">COUNTIFS('All projects'!$J$2:$J$119,$A15,'All projects'!$AB$2:$AB$119,"Implemented",'All projects'!$D$2:$D$119,"active")</f>
        <v>1</v>
      </c>
    </row>
    <row r="16" customFormat="false" ht="15" hidden="false" customHeight="false" outlineLevel="0" collapsed="false">
      <c r="A16" s="12" t="s">
        <v>947</v>
      </c>
      <c r="B16" s="12" t="s">
        <v>946</v>
      </c>
      <c r="C16" s="12" t="s">
        <v>20</v>
      </c>
      <c r="D16" s="12" t="s">
        <v>948</v>
      </c>
      <c r="E16" s="12" t="s">
        <v>150</v>
      </c>
      <c r="F16" s="12" t="s">
        <v>3543</v>
      </c>
      <c r="G16" s="13" t="s">
        <v>3555</v>
      </c>
      <c r="H16" s="12" t="s">
        <v>2345</v>
      </c>
      <c r="I16" s="12" t="n">
        <f aca="false">COUNTIFS('All projects'!$J$2:$J$119,$A16,'All projects'!$D$2:$D$119,"active")</f>
        <v>10</v>
      </c>
      <c r="J16" s="19" t="n">
        <f aca="false">COUNTIFS('All projects'!$J$2:$J$119,$A16,'All projects'!$AB$2:$AB$119,"Implemented",'All projects'!$D$2:$D$119,"active")</f>
        <v>5</v>
      </c>
    </row>
    <row r="17" customFormat="false" ht="15" hidden="false" customHeight="false" outlineLevel="0" collapsed="false">
      <c r="A17" s="12" t="s">
        <v>1009</v>
      </c>
      <c r="B17" s="12" t="s">
        <v>1008</v>
      </c>
      <c r="C17" s="12" t="s">
        <v>20</v>
      </c>
      <c r="D17" s="12" t="s">
        <v>1010</v>
      </c>
      <c r="E17" s="12" t="s">
        <v>150</v>
      </c>
      <c r="F17" s="12" t="s">
        <v>3543</v>
      </c>
      <c r="G17" s="13"/>
      <c r="H17" s="12" t="s">
        <v>2345</v>
      </c>
      <c r="I17" s="12" t="n">
        <f aca="false">COUNTIFS('All projects'!$J$2:$J$119,$A17,'All projects'!$D$2:$D$119,"active")</f>
        <v>2</v>
      </c>
      <c r="J17" s="19" t="n">
        <f aca="false">COUNTIFS('All projects'!$J$2:$J$119,$A17,'All projects'!$AB$2:$AB$119,"Implemented",'All projects'!$D$2:$D$119,"active")</f>
        <v>1</v>
      </c>
    </row>
    <row r="18" customFormat="false" ht="15" hidden="false" customHeight="false" outlineLevel="0" collapsed="false">
      <c r="A18" s="12" t="s">
        <v>1029</v>
      </c>
      <c r="B18" s="12" t="s">
        <v>1028</v>
      </c>
      <c r="C18" s="12" t="s">
        <v>20</v>
      </c>
      <c r="D18" s="12" t="s">
        <v>1030</v>
      </c>
      <c r="E18" s="12" t="s">
        <v>150</v>
      </c>
      <c r="F18" s="12" t="s">
        <v>3551</v>
      </c>
      <c r="G18" s="13"/>
      <c r="H18" s="12" t="s">
        <v>2345</v>
      </c>
      <c r="I18" s="12" t="n">
        <f aca="false">COUNTIFS('All projects'!$J$2:$J$119,$A18,'All projects'!$D$2:$D$119,"active")</f>
        <v>1</v>
      </c>
      <c r="J18" s="19" t="n">
        <f aca="false">COUNTIFS('All projects'!$J$2:$J$119,$A18,'All projects'!$AB$2:$AB$119,"Implemented",'All projects'!$D$2:$D$119,"active")</f>
        <v>0</v>
      </c>
    </row>
    <row r="19" customFormat="false" ht="15" hidden="false" customHeight="false" outlineLevel="0" collapsed="false">
      <c r="A19" s="12" t="s">
        <v>3556</v>
      </c>
      <c r="B19" s="12" t="s">
        <v>3557</v>
      </c>
      <c r="C19" s="12" t="s">
        <v>20</v>
      </c>
      <c r="D19" s="12" t="s">
        <v>3558</v>
      </c>
      <c r="E19" s="12" t="s">
        <v>150</v>
      </c>
      <c r="F19" s="12" t="s">
        <v>3547</v>
      </c>
      <c r="G19" s="13" t="s">
        <v>3559</v>
      </c>
      <c r="H19" s="12" t="s">
        <v>2345</v>
      </c>
      <c r="I19" s="12" t="n">
        <f aca="false">COUNTIFS('All projects'!$J$2:$J$119,$A19,'All projects'!$D$2:$D$119,"active")</f>
        <v>0</v>
      </c>
      <c r="J19" s="19" t="n">
        <f aca="false">COUNTIFS('All projects'!$J$2:$J$119,$A19,'All projects'!$AB$2:$AB$119,"Implemented",'All projects'!$D$2:$D$119,"active")</f>
        <v>0</v>
      </c>
    </row>
    <row r="20" customFormat="false" ht="15" hidden="false" customHeight="false" outlineLevel="0" collapsed="false">
      <c r="A20" s="12" t="s">
        <v>3560</v>
      </c>
      <c r="B20" s="12" t="s">
        <v>3561</v>
      </c>
      <c r="C20" s="12" t="s">
        <v>20</v>
      </c>
      <c r="D20" s="12" t="s">
        <v>3562</v>
      </c>
      <c r="E20" s="12" t="s">
        <v>150</v>
      </c>
      <c r="F20" s="12" t="s">
        <v>3547</v>
      </c>
      <c r="G20" s="13" t="s">
        <v>3559</v>
      </c>
      <c r="H20" s="12" t="s">
        <v>2345</v>
      </c>
      <c r="I20" s="12" t="n">
        <f aca="false">COUNTIFS('All projects'!$J$2:$J$119,$A20,'All projects'!$D$2:$D$119,"active")</f>
        <v>0</v>
      </c>
      <c r="J20" s="19" t="n">
        <f aca="false">COUNTIFS('All projects'!$J$2:$J$119,$A20,'All projects'!$AB$2:$AB$119,"Implemented",'All projects'!$D$2:$D$119,"active")</f>
        <v>0</v>
      </c>
    </row>
    <row r="21" customFormat="false" ht="15" hidden="false" customHeight="false" outlineLevel="0" collapsed="false">
      <c r="A21" s="12" t="s">
        <v>1041</v>
      </c>
      <c r="B21" s="12" t="s">
        <v>1040</v>
      </c>
      <c r="C21" s="12" t="s">
        <v>20</v>
      </c>
      <c r="D21" s="12" t="s">
        <v>1042</v>
      </c>
      <c r="E21" s="12" t="s">
        <v>150</v>
      </c>
      <c r="F21" s="12" t="s">
        <v>3543</v>
      </c>
      <c r="G21" s="13" t="s">
        <v>3563</v>
      </c>
      <c r="H21" s="12" t="s">
        <v>2345</v>
      </c>
      <c r="I21" s="12" t="n">
        <f aca="false">COUNTIFS('All projects'!$J$2:$J$119,$A21,'All projects'!$D$2:$D$119,"active")</f>
        <v>3</v>
      </c>
      <c r="J21" s="19" t="n">
        <f aca="false">COUNTIFS('All projects'!$J$2:$J$119,$A21,'All projects'!$AB$2:$AB$119,"Implemented",'All projects'!$D$2:$D$119,"active")</f>
        <v>0</v>
      </c>
    </row>
    <row r="22" customFormat="false" ht="15" hidden="false" customHeight="false" outlineLevel="0" collapsed="false">
      <c r="A22" s="12" t="s">
        <v>1068</v>
      </c>
      <c r="B22" s="12" t="s">
        <v>1067</v>
      </c>
      <c r="C22" s="12" t="s">
        <v>20</v>
      </c>
      <c r="D22" s="12" t="s">
        <v>1069</v>
      </c>
      <c r="E22" s="12" t="s">
        <v>150</v>
      </c>
      <c r="F22" s="12" t="s">
        <v>3551</v>
      </c>
      <c r="G22" s="13"/>
      <c r="H22" s="12" t="s">
        <v>2345</v>
      </c>
      <c r="I22" s="12" t="n">
        <f aca="false">COUNTIFS('All projects'!$J$2:$J$119,$A22,'All projects'!$D$2:$D$119,"active")</f>
        <v>1</v>
      </c>
      <c r="J22" s="19" t="n">
        <f aca="false">COUNTIFS('All projects'!$J$2:$J$119,$A22,'All projects'!$AB$2:$AB$119,"Implemented",'All projects'!$D$2:$D$119,"active")</f>
        <v>0</v>
      </c>
    </row>
    <row r="23" customFormat="false" ht="15" hidden="false" customHeight="false" outlineLevel="0" collapsed="false">
      <c r="A23" s="12" t="s">
        <v>1081</v>
      </c>
      <c r="B23" s="12" t="s">
        <v>1080</v>
      </c>
      <c r="C23" s="12" t="s">
        <v>20</v>
      </c>
      <c r="D23" s="12" t="s">
        <v>1082</v>
      </c>
      <c r="E23" s="12" t="s">
        <v>150</v>
      </c>
      <c r="F23" s="12" t="s">
        <v>3543</v>
      </c>
      <c r="G23" s="13"/>
      <c r="H23" s="12" t="s">
        <v>2345</v>
      </c>
      <c r="I23" s="12" t="n">
        <f aca="false">COUNTIFS('All projects'!$J$2:$J$119,$A23,'All projects'!$D$2:$D$119,"active")</f>
        <v>2</v>
      </c>
      <c r="J23" s="19" t="n">
        <f aca="false">COUNTIFS('All projects'!$J$2:$J$119,$A23,'All projects'!$AB$2:$AB$119,"Implemented",'All projects'!$D$2:$D$119,"active")</f>
        <v>0</v>
      </c>
    </row>
    <row r="24" customFormat="false" ht="15" hidden="false" customHeight="false" outlineLevel="0" collapsed="false">
      <c r="A24" s="12" t="s">
        <v>3564</v>
      </c>
      <c r="B24" s="12" t="s">
        <v>3565</v>
      </c>
      <c r="C24" s="12" t="s">
        <v>20</v>
      </c>
      <c r="D24" s="12" t="s">
        <v>3566</v>
      </c>
      <c r="E24" s="12" t="s">
        <v>150</v>
      </c>
      <c r="F24" s="12" t="s">
        <v>3547</v>
      </c>
      <c r="G24" s="13" t="s">
        <v>3559</v>
      </c>
      <c r="H24" s="12" t="s">
        <v>2345</v>
      </c>
      <c r="I24" s="12" t="n">
        <f aca="false">COUNTIFS('All projects'!$J$2:$J$119,$A24,'All projects'!$D$2:$D$119,"active")</f>
        <v>0</v>
      </c>
      <c r="J24" s="19" t="n">
        <f aca="false">COUNTIFS('All projects'!$J$2:$J$119,$A24,'All projects'!$AB$2:$AB$119,"Implemented",'All projects'!$D$2:$D$119,"active")</f>
        <v>0</v>
      </c>
    </row>
    <row r="25" customFormat="false" ht="15" hidden="false" customHeight="false" outlineLevel="0" collapsed="false">
      <c r="A25" s="12" t="s">
        <v>1103</v>
      </c>
      <c r="B25" s="12" t="s">
        <v>1102</v>
      </c>
      <c r="C25" s="12" t="s">
        <v>20</v>
      </c>
      <c r="D25" s="12" t="s">
        <v>1104</v>
      </c>
      <c r="E25" s="12" t="s">
        <v>150</v>
      </c>
      <c r="F25" s="12" t="s">
        <v>3543</v>
      </c>
      <c r="G25" s="13"/>
      <c r="H25" s="12" t="s">
        <v>2345</v>
      </c>
      <c r="I25" s="12" t="n">
        <f aca="false">COUNTIFS('All projects'!$J$2:$J$119,$A25,'All projects'!$D$2:$D$119,"active")</f>
        <v>3</v>
      </c>
      <c r="J25" s="19" t="n">
        <f aca="false">COUNTIFS('All projects'!$J$2:$J$119,$A25,'All projects'!$AB$2:$AB$119,"Implemented",'All projects'!$D$2:$D$119,"active")</f>
        <v>3</v>
      </c>
    </row>
    <row r="26" customFormat="false" ht="15" hidden="false" customHeight="false" outlineLevel="0" collapsed="false">
      <c r="A26" s="12" t="s">
        <v>1131</v>
      </c>
      <c r="B26" s="12" t="s">
        <v>1130</v>
      </c>
      <c r="C26" s="12" t="s">
        <v>20</v>
      </c>
      <c r="D26" s="12" t="s">
        <v>1132</v>
      </c>
      <c r="E26" s="12" t="s">
        <v>150</v>
      </c>
      <c r="F26" s="12" t="s">
        <v>3543</v>
      </c>
      <c r="G26" s="13" t="s">
        <v>3567</v>
      </c>
      <c r="H26" s="12" t="s">
        <v>2345</v>
      </c>
      <c r="I26" s="12" t="n">
        <f aca="false">COUNTIFS('All projects'!$J$2:$J$119,$A26,'All projects'!$D$2:$D$119,"active")</f>
        <v>5</v>
      </c>
      <c r="J26" s="19" t="n">
        <f aca="false">COUNTIFS('All projects'!$J$2:$J$119,$A26,'All projects'!$AB$2:$AB$119,"Implemented",'All projects'!$D$2:$D$119,"active")</f>
        <v>2</v>
      </c>
    </row>
    <row r="27" customFormat="false" ht="15" hidden="false" customHeight="false" outlineLevel="0" collapsed="false">
      <c r="A27" s="12" t="s">
        <v>1177</v>
      </c>
      <c r="B27" s="12" t="s">
        <v>1176</v>
      </c>
      <c r="C27" s="12" t="s">
        <v>20</v>
      </c>
      <c r="D27" s="12" t="s">
        <v>1178</v>
      </c>
      <c r="E27" s="12" t="s">
        <v>150</v>
      </c>
      <c r="F27" s="12" t="s">
        <v>3543</v>
      </c>
      <c r="G27" s="13"/>
      <c r="H27" s="12" t="s">
        <v>2345</v>
      </c>
      <c r="I27" s="12" t="n">
        <f aca="false">COUNTIFS('All projects'!$J$2:$J$119,$A27,'All projects'!$D$2:$D$119,"active")</f>
        <v>1</v>
      </c>
      <c r="J27" s="19" t="n">
        <f aca="false">COUNTIFS('All projects'!$J$2:$J$119,$A27,'All projects'!$AB$2:$AB$119,"Implemented",'All projects'!$D$2:$D$119,"active")</f>
        <v>1</v>
      </c>
    </row>
    <row r="28" customFormat="false" ht="15" hidden="false" customHeight="false" outlineLevel="0" collapsed="false">
      <c r="A28" s="12" t="s">
        <v>1186</v>
      </c>
      <c r="B28" s="12" t="s">
        <v>1185</v>
      </c>
      <c r="C28" s="12" t="s">
        <v>20</v>
      </c>
      <c r="D28" s="12" t="s">
        <v>1187</v>
      </c>
      <c r="E28" s="12" t="s">
        <v>150</v>
      </c>
      <c r="F28" s="12" t="s">
        <v>3543</v>
      </c>
      <c r="G28" s="13" t="s">
        <v>3568</v>
      </c>
      <c r="H28" s="12" t="s">
        <v>2345</v>
      </c>
      <c r="I28" s="12" t="n">
        <f aca="false">COUNTIFS('All projects'!$J$2:$J$119,$A28,'All projects'!$D$2:$D$119,"active")</f>
        <v>4</v>
      </c>
      <c r="J28" s="19" t="n">
        <f aca="false">COUNTIFS('All projects'!$J$2:$J$119,$A28,'All projects'!$AB$2:$AB$119,"Implemented",'All projects'!$D$2:$D$119,"active")</f>
        <v>0</v>
      </c>
    </row>
    <row r="29" customFormat="false" ht="15" hidden="false" customHeight="false" outlineLevel="0" collapsed="false">
      <c r="A29" s="12" t="s">
        <v>1220</v>
      </c>
      <c r="B29" s="12" t="s">
        <v>1219</v>
      </c>
      <c r="C29" s="12" t="s">
        <v>20</v>
      </c>
      <c r="D29" s="12" t="s">
        <v>1221</v>
      </c>
      <c r="E29" s="12" t="s">
        <v>150</v>
      </c>
      <c r="F29" s="12" t="s">
        <v>3543</v>
      </c>
      <c r="G29" s="13"/>
      <c r="H29" s="12" t="s">
        <v>2345</v>
      </c>
      <c r="I29" s="12" t="n">
        <f aca="false">COUNTIFS('All projects'!$J$2:$J$119,$A29,'All projects'!$D$2:$D$119,"active")</f>
        <v>2</v>
      </c>
      <c r="J29" s="19" t="n">
        <f aca="false">COUNTIFS('All projects'!$J$2:$J$119,$A29,'All projects'!$AB$2:$AB$119,"Implemented",'All projects'!$D$2:$D$119,"active")</f>
        <v>1</v>
      </c>
    </row>
    <row r="30" customFormat="false" ht="23.85" hidden="false" customHeight="false" outlineLevel="0" collapsed="false">
      <c r="A30" s="12" t="s">
        <v>1236</v>
      </c>
      <c r="B30" s="12" t="s">
        <v>1235</v>
      </c>
      <c r="C30" s="12" t="s">
        <v>20</v>
      </c>
      <c r="D30" s="12" t="s">
        <v>1237</v>
      </c>
      <c r="E30" s="12" t="s">
        <v>150</v>
      </c>
      <c r="F30" s="12" t="s">
        <v>3551</v>
      </c>
      <c r="G30" s="13" t="s">
        <v>3569</v>
      </c>
      <c r="H30" s="12" t="s">
        <v>2345</v>
      </c>
      <c r="I30" s="12" t="n">
        <f aca="false">COUNTIFS('All projects'!$J$2:$J$119,$A30,'All projects'!$D$2:$D$119,"active")</f>
        <v>3</v>
      </c>
      <c r="J30" s="19" t="n">
        <f aca="false">COUNTIFS('All projects'!$J$2:$J$119,$A30,'All projects'!$AB$2:$AB$119,"Implemented",'All projects'!$D$2:$D$119,"active")</f>
        <v>0</v>
      </c>
    </row>
    <row r="31" customFormat="false" ht="15" hidden="false" customHeight="false" outlineLevel="0" collapsed="false">
      <c r="A31" s="12" t="s">
        <v>3570</v>
      </c>
      <c r="B31" s="12" t="s">
        <v>3571</v>
      </c>
      <c r="C31" s="12" t="s">
        <v>21</v>
      </c>
      <c r="D31" s="12" t="s">
        <v>3572</v>
      </c>
      <c r="E31" s="12" t="s">
        <v>150</v>
      </c>
      <c r="F31" s="12" t="s">
        <v>3547</v>
      </c>
      <c r="G31" s="13" t="s">
        <v>3559</v>
      </c>
      <c r="H31" s="12" t="s">
        <v>2345</v>
      </c>
      <c r="I31" s="12" t="n">
        <f aca="false">COUNTIFS('All projects'!$J$2:$J$119,$A31,'All projects'!$D$2:$D$119,"active")</f>
        <v>0</v>
      </c>
      <c r="J31" s="19" t="n">
        <f aca="false">COUNTIFS('All projects'!$J$2:$J$119,$A31,'All projects'!$AB$2:$AB$119,"Implemented",'All projects'!$D$2:$D$119,"active")</f>
        <v>0</v>
      </c>
    </row>
    <row r="32" customFormat="false" ht="23.85" hidden="false" customHeight="false" outlineLevel="0" collapsed="false">
      <c r="A32" s="12" t="s">
        <v>3573</v>
      </c>
      <c r="B32" s="12" t="s">
        <v>3574</v>
      </c>
      <c r="C32" s="12" t="s">
        <v>21</v>
      </c>
      <c r="D32" s="12" t="s">
        <v>3575</v>
      </c>
      <c r="E32" s="12" t="s">
        <v>150</v>
      </c>
      <c r="F32" s="12" t="s">
        <v>3576</v>
      </c>
      <c r="G32" s="13" t="s">
        <v>3577</v>
      </c>
      <c r="H32" s="12" t="s">
        <v>2345</v>
      </c>
      <c r="I32" s="12" t="n">
        <f aca="false">COUNTIFS('All projects'!$J$2:$J$119,$A32,'All projects'!$D$2:$D$119,"active")</f>
        <v>0</v>
      </c>
      <c r="J32" s="19" t="n">
        <f aca="false">COUNTIFS('All projects'!$J$2:$J$119,$A32,'All projects'!$AB$2:$AB$119,"Implemented",'All projects'!$D$2:$D$119,"active")</f>
        <v>0</v>
      </c>
    </row>
    <row r="33" customFormat="false" ht="23.85" hidden="false" customHeight="false" outlineLevel="0" collapsed="false">
      <c r="A33" s="12" t="s">
        <v>3578</v>
      </c>
      <c r="B33" s="12" t="s">
        <v>3579</v>
      </c>
      <c r="C33" s="12" t="s">
        <v>21</v>
      </c>
      <c r="D33" s="12" t="s">
        <v>3580</v>
      </c>
      <c r="E33" s="12" t="s">
        <v>150</v>
      </c>
      <c r="F33" s="12" t="s">
        <v>3576</v>
      </c>
      <c r="G33" s="13" t="s">
        <v>3577</v>
      </c>
      <c r="H33" s="12" t="s">
        <v>2345</v>
      </c>
      <c r="I33" s="12" t="n">
        <f aca="false">COUNTIFS('All projects'!$J$2:$J$119,$A33,'All projects'!$D$2:$D$119,"active")</f>
        <v>0</v>
      </c>
      <c r="J33" s="19" t="n">
        <f aca="false">COUNTIFS('All projects'!$J$2:$J$119,$A33,'All projects'!$AB$2:$AB$119,"Implemented",'All projects'!$D$2:$D$119,"active")</f>
        <v>0</v>
      </c>
    </row>
    <row r="34" customFormat="false" ht="15" hidden="false" customHeight="false" outlineLevel="0" collapsed="false">
      <c r="A34" s="12" t="s">
        <v>1262</v>
      </c>
      <c r="B34" s="12" t="s">
        <v>1261</v>
      </c>
      <c r="C34" s="12" t="s">
        <v>21</v>
      </c>
      <c r="D34" s="12" t="s">
        <v>1263</v>
      </c>
      <c r="E34" s="12" t="s">
        <v>150</v>
      </c>
      <c r="F34" s="12" t="s">
        <v>3543</v>
      </c>
      <c r="G34" s="13"/>
      <c r="H34" s="12" t="s">
        <v>2345</v>
      </c>
      <c r="I34" s="12" t="n">
        <f aca="false">COUNTIFS('All projects'!$J$2:$J$119,$A34,'All projects'!$D$2:$D$119,"active")</f>
        <v>2</v>
      </c>
      <c r="J34" s="19" t="n">
        <f aca="false">COUNTIFS('All projects'!$J$2:$J$119,$A34,'All projects'!$AB$2:$AB$119,"Implemented",'All projects'!$D$2:$D$119,"active")</f>
        <v>2</v>
      </c>
    </row>
    <row r="35" customFormat="false" ht="23.85" hidden="false" customHeight="false" outlineLevel="0" collapsed="false">
      <c r="A35" s="12" t="s">
        <v>1279</v>
      </c>
      <c r="B35" s="12" t="s">
        <v>1278</v>
      </c>
      <c r="C35" s="12" t="s">
        <v>21</v>
      </c>
      <c r="D35" s="12" t="s">
        <v>1280</v>
      </c>
      <c r="E35" s="12" t="s">
        <v>150</v>
      </c>
      <c r="F35" s="12" t="s">
        <v>3543</v>
      </c>
      <c r="G35" s="13" t="s">
        <v>3581</v>
      </c>
      <c r="H35" s="12" t="s">
        <v>2345</v>
      </c>
      <c r="I35" s="12" t="n">
        <f aca="false">COUNTIFS('All projects'!$J$2:$J$119,$A35,'All projects'!$D$2:$D$119,"active")</f>
        <v>2</v>
      </c>
      <c r="J35" s="19" t="n">
        <f aca="false">COUNTIFS('All projects'!$J$2:$J$119,$A35,'All projects'!$AB$2:$AB$119,"Implemented",'All projects'!$D$2:$D$119,"active")</f>
        <v>1</v>
      </c>
    </row>
    <row r="36" customFormat="false" ht="15" hidden="false" customHeight="false" outlineLevel="0" collapsed="false">
      <c r="A36" s="12" t="s">
        <v>3582</v>
      </c>
      <c r="B36" s="12" t="s">
        <v>3583</v>
      </c>
      <c r="C36" s="12" t="s">
        <v>21</v>
      </c>
      <c r="D36" s="12" t="s">
        <v>3584</v>
      </c>
      <c r="E36" s="12" t="s">
        <v>150</v>
      </c>
      <c r="F36" s="12" t="s">
        <v>3547</v>
      </c>
      <c r="G36" s="13" t="s">
        <v>3585</v>
      </c>
      <c r="H36" s="12" t="s">
        <v>2345</v>
      </c>
      <c r="I36" s="12" t="n">
        <f aca="false">COUNTIFS('All projects'!$J$2:$J$119,$A36,'All projects'!$D$2:$D$119,"active")</f>
        <v>0</v>
      </c>
      <c r="J36" s="19" t="n">
        <f aca="false">COUNTIFS('All projects'!$J$2:$J$119,$A36,'All projects'!$AB$2:$AB$119,"Implemented",'All projects'!$D$2:$D$119,"active")</f>
        <v>0</v>
      </c>
    </row>
    <row r="37" customFormat="false" ht="15" hidden="false" customHeight="false" outlineLevel="0" collapsed="false">
      <c r="A37" s="12" t="s">
        <v>3586</v>
      </c>
      <c r="B37" s="12" t="s">
        <v>3587</v>
      </c>
      <c r="C37" s="12" t="s">
        <v>21</v>
      </c>
      <c r="D37" s="12" t="s">
        <v>3588</v>
      </c>
      <c r="E37" s="12" t="s">
        <v>150</v>
      </c>
      <c r="F37" s="12" t="s">
        <v>3547</v>
      </c>
      <c r="G37" s="13" t="s">
        <v>3559</v>
      </c>
      <c r="H37" s="12" t="s">
        <v>2345</v>
      </c>
      <c r="I37" s="12" t="n">
        <f aca="false">COUNTIFS('All projects'!$J$2:$J$119,$A37,'All projects'!$D$2:$D$119,"active")</f>
        <v>0</v>
      </c>
      <c r="J37" s="19" t="n">
        <f aca="false">COUNTIFS('All projects'!$J$2:$J$119,$A37,'All projects'!$AB$2:$AB$119,"Implemented",'All projects'!$D$2:$D$119,"active")</f>
        <v>0</v>
      </c>
    </row>
    <row r="38" customFormat="false" ht="15" hidden="false" customHeight="false" outlineLevel="0" collapsed="false">
      <c r="A38" s="12" t="s">
        <v>1294</v>
      </c>
      <c r="B38" s="12" t="s">
        <v>1293</v>
      </c>
      <c r="C38" s="12" t="s">
        <v>21</v>
      </c>
      <c r="D38" s="12" t="s">
        <v>1295</v>
      </c>
      <c r="E38" s="12" t="s">
        <v>150</v>
      </c>
      <c r="F38" s="12" t="s">
        <v>3543</v>
      </c>
      <c r="G38" s="13" t="s">
        <v>3589</v>
      </c>
      <c r="H38" s="12" t="s">
        <v>2345</v>
      </c>
      <c r="I38" s="12" t="n">
        <f aca="false">COUNTIFS('All projects'!$J$2:$J$119,$A38,'All projects'!$D$2:$D$119,"active")</f>
        <v>2</v>
      </c>
      <c r="J38" s="19" t="n">
        <f aca="false">COUNTIFS('All projects'!$J$2:$J$119,$A38,'All projects'!$AB$2:$AB$119,"Implemented",'All projects'!$D$2:$D$119,"active")</f>
        <v>2</v>
      </c>
    </row>
  </sheetData>
  <autoFilter ref="A1:I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7"/>
    <col collapsed="false" customWidth="true" hidden="false" outlineLevel="0" max="4" min="4" style="0" width="26"/>
    <col collapsed="false" customWidth="true" hidden="false" outlineLevel="0" max="5" min="5" style="0" width="10"/>
    <col collapsed="false" customWidth="true" hidden="false" outlineLevel="0" max="6" min="6" style="0" width="34"/>
    <col collapsed="false" customWidth="true" hidden="false" outlineLevel="0" max="7" min="7" style="0" width="15"/>
    <col collapsed="false" customWidth="true" hidden="false" outlineLevel="0" max="8" min="8" style="0" width="18"/>
  </cols>
  <sheetData>
    <row r="1" customFormat="false" ht="15" hidden="false" customHeight="false" outlineLevel="0" collapsed="false">
      <c r="A1" s="11" t="s">
        <v>3590</v>
      </c>
      <c r="B1" s="11" t="s">
        <v>3532</v>
      </c>
      <c r="C1" s="11" t="s">
        <v>95</v>
      </c>
      <c r="D1" s="11" t="s">
        <v>3591</v>
      </c>
      <c r="E1" s="11" t="s">
        <v>3466</v>
      </c>
      <c r="F1" s="11" t="s">
        <v>3592</v>
      </c>
      <c r="G1" s="11" t="s">
        <v>91</v>
      </c>
      <c r="H1" s="11" t="s">
        <v>90</v>
      </c>
    </row>
    <row r="2" customFormat="false" ht="15" hidden="false" customHeight="false" outlineLevel="0" collapsed="false">
      <c r="A2" s="12" t="s">
        <v>3593</v>
      </c>
      <c r="B2" s="12" t="s">
        <v>147</v>
      </c>
      <c r="C2" s="12" t="s">
        <v>150</v>
      </c>
      <c r="D2" s="12" t="s">
        <v>3594</v>
      </c>
      <c r="E2" s="12" t="s">
        <v>3595</v>
      </c>
      <c r="F2" s="12" t="s">
        <v>148</v>
      </c>
      <c r="G2" s="12" t="s">
        <v>40</v>
      </c>
      <c r="H2" s="12" t="s">
        <v>19</v>
      </c>
    </row>
    <row r="3" customFormat="false" ht="15" hidden="false" customHeight="false" outlineLevel="0" collapsed="false">
      <c r="A3" s="12" t="s">
        <v>3596</v>
      </c>
      <c r="B3" s="12" t="s">
        <v>178</v>
      </c>
      <c r="C3" s="12" t="s">
        <v>150</v>
      </c>
      <c r="D3" s="12" t="s">
        <v>3594</v>
      </c>
      <c r="E3" s="12" t="s">
        <v>3595</v>
      </c>
      <c r="F3" s="12" t="s">
        <v>148</v>
      </c>
      <c r="G3" s="12" t="s">
        <v>38</v>
      </c>
      <c r="H3" s="12" t="s">
        <v>19</v>
      </c>
    </row>
    <row r="4" customFormat="false" ht="15" hidden="false" customHeight="false" outlineLevel="0" collapsed="false">
      <c r="A4" s="12" t="s">
        <v>3597</v>
      </c>
      <c r="B4" s="12" t="s">
        <v>202</v>
      </c>
      <c r="C4" s="12" t="s">
        <v>150</v>
      </c>
      <c r="D4" s="12" t="s">
        <v>3594</v>
      </c>
      <c r="E4" s="12" t="s">
        <v>3595</v>
      </c>
      <c r="F4" s="12" t="s">
        <v>148</v>
      </c>
      <c r="G4" s="12" t="s">
        <v>38</v>
      </c>
      <c r="H4" s="12" t="s">
        <v>19</v>
      </c>
    </row>
    <row r="5" customFormat="false" ht="15" hidden="false" customHeight="false" outlineLevel="0" collapsed="false">
      <c r="A5" s="12" t="s">
        <v>3598</v>
      </c>
      <c r="B5" s="12" t="s">
        <v>212</v>
      </c>
      <c r="C5" s="12" t="s">
        <v>150</v>
      </c>
      <c r="D5" s="12" t="s">
        <v>3599</v>
      </c>
      <c r="E5" s="12" t="s">
        <v>3595</v>
      </c>
      <c r="F5" s="12" t="s">
        <v>148</v>
      </c>
      <c r="G5" s="12" t="s">
        <v>40</v>
      </c>
      <c r="H5" s="12" t="s">
        <v>19</v>
      </c>
    </row>
    <row r="6" customFormat="false" ht="15" hidden="false" customHeight="false" outlineLevel="0" collapsed="false">
      <c r="A6" s="12" t="s">
        <v>3600</v>
      </c>
      <c r="B6" s="12" t="s">
        <v>180</v>
      </c>
      <c r="C6" s="12" t="s">
        <v>150</v>
      </c>
      <c r="D6" s="12" t="s">
        <v>3599</v>
      </c>
      <c r="E6" s="12" t="s">
        <v>3595</v>
      </c>
      <c r="F6" s="12" t="s">
        <v>148</v>
      </c>
      <c r="G6" s="12" t="s">
        <v>40</v>
      </c>
      <c r="H6" s="12" t="s">
        <v>19</v>
      </c>
    </row>
    <row r="7" customFormat="false" ht="15" hidden="false" customHeight="false" outlineLevel="0" collapsed="false">
      <c r="A7" s="12" t="s">
        <v>3601</v>
      </c>
      <c r="B7" s="12" t="s">
        <v>242</v>
      </c>
      <c r="C7" s="12" t="s">
        <v>150</v>
      </c>
      <c r="D7" s="12" t="s">
        <v>3602</v>
      </c>
      <c r="E7" s="12" t="s">
        <v>483</v>
      </c>
      <c r="F7" s="12" t="s">
        <v>243</v>
      </c>
      <c r="G7" s="12" t="s">
        <v>44</v>
      </c>
      <c r="H7" s="12" t="s">
        <v>19</v>
      </c>
    </row>
    <row r="8" customFormat="false" ht="15" hidden="false" customHeight="false" outlineLevel="0" collapsed="false">
      <c r="A8" s="12" t="s">
        <v>3603</v>
      </c>
      <c r="B8" s="12" t="s">
        <v>254</v>
      </c>
      <c r="C8" s="12" t="s">
        <v>150</v>
      </c>
      <c r="D8" s="12" t="s">
        <v>3604</v>
      </c>
      <c r="E8" s="12" t="s">
        <v>483</v>
      </c>
      <c r="F8" s="12" t="s">
        <v>255</v>
      </c>
      <c r="G8" s="12" t="s">
        <v>44</v>
      </c>
      <c r="H8" s="12" t="s">
        <v>19</v>
      </c>
    </row>
    <row r="9" customFormat="false" ht="15" hidden="false" customHeight="false" outlineLevel="0" collapsed="false">
      <c r="A9" s="12" t="s">
        <v>3605</v>
      </c>
      <c r="B9" s="12" t="s">
        <v>268</v>
      </c>
      <c r="C9" s="12" t="s">
        <v>150</v>
      </c>
      <c r="D9" s="12" t="s">
        <v>3594</v>
      </c>
      <c r="E9" s="12" t="s">
        <v>3595</v>
      </c>
      <c r="F9" s="12" t="s">
        <v>269</v>
      </c>
      <c r="G9" s="12" t="s">
        <v>38</v>
      </c>
      <c r="H9" s="12" t="s">
        <v>19</v>
      </c>
    </row>
    <row r="10" customFormat="false" ht="15" hidden="false" customHeight="false" outlineLevel="0" collapsed="false">
      <c r="A10" s="12" t="s">
        <v>3606</v>
      </c>
      <c r="B10" s="12" t="s">
        <v>274</v>
      </c>
      <c r="C10" s="12" t="s">
        <v>150</v>
      </c>
      <c r="D10" s="12" t="s">
        <v>3594</v>
      </c>
      <c r="E10" s="12" t="s">
        <v>3595</v>
      </c>
      <c r="F10" s="12" t="s">
        <v>275</v>
      </c>
      <c r="G10" s="12" t="s">
        <v>38</v>
      </c>
      <c r="H10" s="12" t="s">
        <v>19</v>
      </c>
    </row>
    <row r="11" customFormat="false" ht="15" hidden="false" customHeight="false" outlineLevel="0" collapsed="false">
      <c r="A11" s="12" t="s">
        <v>3607</v>
      </c>
      <c r="B11" s="12" t="s">
        <v>284</v>
      </c>
      <c r="C11" s="12" t="s">
        <v>150</v>
      </c>
      <c r="D11" s="12" t="s">
        <v>3594</v>
      </c>
      <c r="E11" s="12" t="s">
        <v>3595</v>
      </c>
      <c r="F11" s="12" t="s">
        <v>269</v>
      </c>
      <c r="G11" s="12" t="s">
        <v>38</v>
      </c>
      <c r="H11" s="12" t="s">
        <v>19</v>
      </c>
    </row>
    <row r="12" customFormat="false" ht="15" hidden="false" customHeight="false" outlineLevel="0" collapsed="false">
      <c r="A12" s="12" t="s">
        <v>3608</v>
      </c>
      <c r="B12" s="12" t="s">
        <v>303</v>
      </c>
      <c r="C12" s="12" t="s">
        <v>150</v>
      </c>
      <c r="D12" s="12" t="s">
        <v>3594</v>
      </c>
      <c r="E12" s="12" t="s">
        <v>3595</v>
      </c>
      <c r="F12" s="12" t="s">
        <v>303</v>
      </c>
      <c r="G12" s="12" t="s">
        <v>38</v>
      </c>
      <c r="H12" s="12" t="s">
        <v>19</v>
      </c>
    </row>
    <row r="13" customFormat="false" ht="15" hidden="false" customHeight="false" outlineLevel="0" collapsed="false">
      <c r="A13" s="12" t="s">
        <v>3609</v>
      </c>
      <c r="B13" s="12" t="s">
        <v>314</v>
      </c>
      <c r="C13" s="12" t="s">
        <v>150</v>
      </c>
      <c r="D13" s="12" t="s">
        <v>3594</v>
      </c>
      <c r="E13" s="12" t="s">
        <v>3595</v>
      </c>
      <c r="F13" s="12" t="s">
        <v>315</v>
      </c>
      <c r="G13" s="12" t="s">
        <v>38</v>
      </c>
      <c r="H13" s="12" t="s">
        <v>19</v>
      </c>
    </row>
    <row r="14" customFormat="false" ht="15" hidden="false" customHeight="false" outlineLevel="0" collapsed="false">
      <c r="A14" s="12" t="s">
        <v>3610</v>
      </c>
      <c r="B14" s="12" t="s">
        <v>328</v>
      </c>
      <c r="C14" s="12" t="s">
        <v>150</v>
      </c>
      <c r="D14" s="12" t="s">
        <v>3594</v>
      </c>
      <c r="E14" s="12" t="s">
        <v>3595</v>
      </c>
      <c r="F14" s="12" t="s">
        <v>328</v>
      </c>
      <c r="G14" s="12" t="s">
        <v>38</v>
      </c>
      <c r="H14" s="12" t="s">
        <v>19</v>
      </c>
    </row>
    <row r="15" customFormat="false" ht="15" hidden="false" customHeight="false" outlineLevel="0" collapsed="false">
      <c r="A15" s="12" t="s">
        <v>3611</v>
      </c>
      <c r="B15" s="12" t="s">
        <v>343</v>
      </c>
      <c r="C15" s="12" t="s">
        <v>150</v>
      </c>
      <c r="D15" s="12" t="s">
        <v>3594</v>
      </c>
      <c r="E15" s="12" t="s">
        <v>3595</v>
      </c>
      <c r="F15" s="12" t="s">
        <v>344</v>
      </c>
      <c r="G15" s="12" t="s">
        <v>38</v>
      </c>
      <c r="H15" s="12" t="s">
        <v>19</v>
      </c>
    </row>
    <row r="16" customFormat="false" ht="15" hidden="false" customHeight="false" outlineLevel="0" collapsed="false">
      <c r="A16" s="12" t="s">
        <v>3612</v>
      </c>
      <c r="B16" s="12" t="s">
        <v>356</v>
      </c>
      <c r="C16" s="12" t="s">
        <v>150</v>
      </c>
      <c r="D16" s="12" t="s">
        <v>3613</v>
      </c>
      <c r="E16" s="12" t="s">
        <v>3595</v>
      </c>
      <c r="F16" s="12" t="s">
        <v>356</v>
      </c>
      <c r="G16" s="12" t="s">
        <v>41</v>
      </c>
      <c r="H16" s="12" t="s">
        <v>19</v>
      </c>
    </row>
    <row r="17" customFormat="false" ht="15" hidden="false" customHeight="false" outlineLevel="0" collapsed="false">
      <c r="A17" s="12" t="s">
        <v>3614</v>
      </c>
      <c r="B17" s="12" t="s">
        <v>615</v>
      </c>
      <c r="C17" s="12" t="s">
        <v>618</v>
      </c>
      <c r="D17" s="12" t="s">
        <v>3615</v>
      </c>
      <c r="E17" s="12" t="s">
        <v>20</v>
      </c>
      <c r="F17" s="12" t="s">
        <v>616</v>
      </c>
      <c r="G17" s="12" t="s">
        <v>38</v>
      </c>
      <c r="H17" s="12" t="s">
        <v>20</v>
      </c>
    </row>
    <row r="18" customFormat="false" ht="15" hidden="false" customHeight="false" outlineLevel="0" collapsed="false">
      <c r="A18" s="12" t="s">
        <v>3616</v>
      </c>
      <c r="B18" s="12" t="s">
        <v>633</v>
      </c>
      <c r="C18" s="12" t="s">
        <v>618</v>
      </c>
      <c r="D18" s="12" t="s">
        <v>3615</v>
      </c>
      <c r="E18" s="12" t="s">
        <v>20</v>
      </c>
      <c r="F18" s="12" t="s">
        <v>616</v>
      </c>
      <c r="G18" s="12" t="s">
        <v>38</v>
      </c>
      <c r="H18" s="12" t="s">
        <v>20</v>
      </c>
    </row>
    <row r="19" customFormat="false" ht="15" hidden="false" customHeight="false" outlineLevel="0" collapsed="false">
      <c r="A19" s="12" t="s">
        <v>3617</v>
      </c>
      <c r="B19" s="12" t="s">
        <v>640</v>
      </c>
      <c r="C19" s="12" t="s">
        <v>618</v>
      </c>
      <c r="D19" s="12" t="s">
        <v>3615</v>
      </c>
      <c r="E19" s="12" t="s">
        <v>20</v>
      </c>
      <c r="F19" s="12" t="s">
        <v>616</v>
      </c>
      <c r="G19" s="12" t="s">
        <v>38</v>
      </c>
      <c r="H19" s="12" t="s">
        <v>20</v>
      </c>
    </row>
    <row r="20" customFormat="false" ht="15" hidden="false" customHeight="false" outlineLevel="0" collapsed="false">
      <c r="A20" s="12" t="s">
        <v>3618</v>
      </c>
      <c r="B20" s="12" t="s">
        <v>650</v>
      </c>
      <c r="C20" s="12" t="s">
        <v>618</v>
      </c>
      <c r="D20" s="12" t="s">
        <v>3615</v>
      </c>
      <c r="E20" s="12" t="s">
        <v>20</v>
      </c>
      <c r="F20" s="12" t="s">
        <v>616</v>
      </c>
      <c r="G20" s="12" t="s">
        <v>38</v>
      </c>
      <c r="H20" s="12" t="s">
        <v>20</v>
      </c>
    </row>
    <row r="21" customFormat="false" ht="15" hidden="false" customHeight="false" outlineLevel="0" collapsed="false">
      <c r="A21" s="12" t="s">
        <v>3619</v>
      </c>
      <c r="B21" s="12" t="s">
        <v>658</v>
      </c>
      <c r="C21" s="12" t="s">
        <v>618</v>
      </c>
      <c r="D21" s="12" t="s">
        <v>3620</v>
      </c>
      <c r="E21" s="12" t="s">
        <v>20</v>
      </c>
      <c r="F21" s="12" t="s">
        <v>616</v>
      </c>
      <c r="G21" s="12" t="s">
        <v>39</v>
      </c>
      <c r="H21" s="12" t="s">
        <v>20</v>
      </c>
    </row>
    <row r="22" customFormat="false" ht="15" hidden="false" customHeight="false" outlineLevel="0" collapsed="false">
      <c r="A22" s="12" t="s">
        <v>3621</v>
      </c>
      <c r="B22" s="12" t="s">
        <v>668</v>
      </c>
      <c r="C22" s="12" t="s">
        <v>618</v>
      </c>
      <c r="D22" s="12" t="s">
        <v>3615</v>
      </c>
      <c r="E22" s="12" t="s">
        <v>20</v>
      </c>
      <c r="F22" s="12" t="s">
        <v>616</v>
      </c>
      <c r="G22" s="12" t="s">
        <v>38</v>
      </c>
      <c r="H22" s="12" t="s">
        <v>20</v>
      </c>
    </row>
    <row r="23" customFormat="false" ht="15" hidden="false" customHeight="false" outlineLevel="0" collapsed="false">
      <c r="A23" s="12" t="s">
        <v>3622</v>
      </c>
      <c r="B23" s="12" t="s">
        <v>677</v>
      </c>
      <c r="C23" s="12" t="s">
        <v>618</v>
      </c>
      <c r="D23" s="12" t="s">
        <v>3615</v>
      </c>
      <c r="E23" s="12" t="s">
        <v>20</v>
      </c>
      <c r="F23" s="12" t="s">
        <v>616</v>
      </c>
      <c r="G23" s="12" t="s">
        <v>38</v>
      </c>
      <c r="H23" s="12" t="s">
        <v>20</v>
      </c>
    </row>
    <row r="24" customFormat="false" ht="15" hidden="false" customHeight="false" outlineLevel="0" collapsed="false">
      <c r="A24" s="12" t="s">
        <v>3623</v>
      </c>
      <c r="B24" s="12" t="s">
        <v>685</v>
      </c>
      <c r="C24" s="12" t="s">
        <v>687</v>
      </c>
      <c r="D24" s="12" t="s">
        <v>3615</v>
      </c>
      <c r="E24" s="12" t="s">
        <v>20</v>
      </c>
      <c r="F24" s="12" t="s">
        <v>686</v>
      </c>
      <c r="G24" s="12" t="s">
        <v>38</v>
      </c>
      <c r="H24" s="12" t="s">
        <v>20</v>
      </c>
    </row>
    <row r="25" customFormat="false" ht="15" hidden="false" customHeight="false" outlineLevel="0" collapsed="false">
      <c r="A25" s="12" t="s">
        <v>3624</v>
      </c>
      <c r="B25" s="12" t="s">
        <v>695</v>
      </c>
      <c r="C25" s="12" t="s">
        <v>697</v>
      </c>
      <c r="D25" s="12" t="s">
        <v>3625</v>
      </c>
      <c r="E25" s="12" t="s">
        <v>20</v>
      </c>
      <c r="F25" s="12" t="s">
        <v>696</v>
      </c>
      <c r="G25" s="12" t="s">
        <v>45</v>
      </c>
      <c r="H25" s="12" t="s">
        <v>20</v>
      </c>
    </row>
    <row r="26" customFormat="false" ht="15" hidden="false" customHeight="false" outlineLevel="0" collapsed="false">
      <c r="A26" s="12" t="s">
        <v>3626</v>
      </c>
      <c r="B26" s="12" t="s">
        <v>710</v>
      </c>
      <c r="C26" s="12" t="s">
        <v>712</v>
      </c>
      <c r="D26" s="12" t="s">
        <v>3627</v>
      </c>
      <c r="E26" s="12" t="s">
        <v>20</v>
      </c>
      <c r="F26" s="12" t="s">
        <v>711</v>
      </c>
      <c r="G26" s="12" t="s">
        <v>40</v>
      </c>
      <c r="H26" s="12" t="s">
        <v>20</v>
      </c>
    </row>
    <row r="27" customFormat="false" ht="15" hidden="false" customHeight="false" outlineLevel="0" collapsed="false">
      <c r="A27" s="12" t="s">
        <v>3628</v>
      </c>
      <c r="B27" s="12" t="s">
        <v>1308</v>
      </c>
      <c r="C27" s="12" t="s">
        <v>712</v>
      </c>
      <c r="D27" s="12" t="s">
        <v>22</v>
      </c>
      <c r="E27" s="12" t="s">
        <v>22</v>
      </c>
      <c r="F27" s="12" t="s">
        <v>711</v>
      </c>
      <c r="G27" s="12" t="s">
        <v>49</v>
      </c>
      <c r="H27" s="12" t="s">
        <v>22</v>
      </c>
    </row>
    <row r="28" customFormat="false" ht="15" hidden="false" customHeight="false" outlineLevel="0" collapsed="false">
      <c r="A28" s="12" t="s">
        <v>3629</v>
      </c>
      <c r="B28" s="12" t="s">
        <v>724</v>
      </c>
      <c r="C28" s="12" t="s">
        <v>712</v>
      </c>
      <c r="D28" s="12" t="s">
        <v>3630</v>
      </c>
      <c r="E28" s="12" t="s">
        <v>20</v>
      </c>
      <c r="F28" s="12" t="s">
        <v>711</v>
      </c>
      <c r="G28" s="12" t="s">
        <v>47</v>
      </c>
      <c r="H28" s="12" t="s">
        <v>20</v>
      </c>
    </row>
    <row r="29" customFormat="false" ht="15" hidden="false" customHeight="false" outlineLevel="0" collapsed="false">
      <c r="A29" s="12" t="s">
        <v>3631</v>
      </c>
      <c r="B29" s="12" t="s">
        <v>729</v>
      </c>
      <c r="C29" s="12" t="s">
        <v>731</v>
      </c>
      <c r="D29" s="12" t="s">
        <v>3615</v>
      </c>
      <c r="E29" s="12" t="s">
        <v>20</v>
      </c>
      <c r="F29" s="12" t="s">
        <v>730</v>
      </c>
      <c r="G29" s="12" t="s">
        <v>38</v>
      </c>
      <c r="H29" s="12" t="s">
        <v>20</v>
      </c>
    </row>
    <row r="30" customFormat="false" ht="15" hidden="false" customHeight="false" outlineLevel="0" collapsed="false">
      <c r="A30" s="12" t="s">
        <v>3632</v>
      </c>
      <c r="B30" s="12" t="s">
        <v>741</v>
      </c>
      <c r="C30" s="12" t="s">
        <v>731</v>
      </c>
      <c r="D30" s="12" t="s">
        <v>3615</v>
      </c>
      <c r="E30" s="12" t="s">
        <v>20</v>
      </c>
      <c r="F30" s="12" t="s">
        <v>730</v>
      </c>
      <c r="G30" s="12" t="s">
        <v>38</v>
      </c>
      <c r="H30" s="12" t="s">
        <v>20</v>
      </c>
    </row>
    <row r="31" customFormat="false" ht="15" hidden="false" customHeight="false" outlineLevel="0" collapsed="false">
      <c r="A31" s="12" t="s">
        <v>3633</v>
      </c>
      <c r="B31" s="12" t="s">
        <v>751</v>
      </c>
      <c r="C31" s="12" t="s">
        <v>753</v>
      </c>
      <c r="D31" s="12" t="s">
        <v>3615</v>
      </c>
      <c r="E31" s="12" t="s">
        <v>20</v>
      </c>
      <c r="F31" s="12" t="s">
        <v>752</v>
      </c>
      <c r="G31" s="12" t="s">
        <v>38</v>
      </c>
      <c r="H31" s="12" t="s">
        <v>20</v>
      </c>
    </row>
    <row r="32" customFormat="false" ht="15" hidden="false" customHeight="false" outlineLevel="0" collapsed="false">
      <c r="A32" s="12" t="s">
        <v>3634</v>
      </c>
      <c r="B32" s="12" t="s">
        <v>764</v>
      </c>
      <c r="C32" s="12" t="s">
        <v>753</v>
      </c>
      <c r="D32" s="12" t="s">
        <v>3620</v>
      </c>
      <c r="E32" s="12" t="s">
        <v>20</v>
      </c>
      <c r="F32" s="12" t="s">
        <v>752</v>
      </c>
      <c r="G32" s="12" t="s">
        <v>39</v>
      </c>
      <c r="H32" s="12" t="s">
        <v>20</v>
      </c>
    </row>
    <row r="33" customFormat="false" ht="15" hidden="false" customHeight="false" outlineLevel="0" collapsed="false">
      <c r="A33" s="12" t="s">
        <v>3635</v>
      </c>
      <c r="B33" s="12" t="s">
        <v>773</v>
      </c>
      <c r="C33" s="12" t="s">
        <v>775</v>
      </c>
      <c r="D33" s="12" t="s">
        <v>3636</v>
      </c>
      <c r="E33" s="12" t="s">
        <v>20</v>
      </c>
      <c r="F33" s="12" t="s">
        <v>774</v>
      </c>
      <c r="G33" s="12" t="s">
        <v>46</v>
      </c>
      <c r="H33" s="12" t="s">
        <v>20</v>
      </c>
    </row>
    <row r="34" customFormat="false" ht="15" hidden="false" customHeight="false" outlineLevel="0" collapsed="false">
      <c r="A34" s="12" t="s">
        <v>3637</v>
      </c>
      <c r="B34" s="12" t="s">
        <v>787</v>
      </c>
      <c r="C34" s="12" t="s">
        <v>775</v>
      </c>
      <c r="D34" s="12" t="s">
        <v>3638</v>
      </c>
      <c r="E34" s="12" t="s">
        <v>20</v>
      </c>
      <c r="F34" s="12" t="s">
        <v>774</v>
      </c>
      <c r="G34" s="12" t="s">
        <v>40</v>
      </c>
      <c r="H34" s="12" t="s">
        <v>20</v>
      </c>
    </row>
    <row r="35" customFormat="false" ht="15" hidden="false" customHeight="false" outlineLevel="0" collapsed="false">
      <c r="A35" s="12" t="s">
        <v>3639</v>
      </c>
      <c r="B35" s="12" t="s">
        <v>799</v>
      </c>
      <c r="C35" s="12" t="s">
        <v>801</v>
      </c>
      <c r="D35" s="12" t="s">
        <v>3638</v>
      </c>
      <c r="E35" s="12" t="s">
        <v>20</v>
      </c>
      <c r="F35" s="12" t="s">
        <v>800</v>
      </c>
      <c r="G35" s="12" t="s">
        <v>41</v>
      </c>
      <c r="H35" s="12" t="s">
        <v>20</v>
      </c>
    </row>
    <row r="36" customFormat="false" ht="15" hidden="false" customHeight="false" outlineLevel="0" collapsed="false">
      <c r="A36" s="12" t="s">
        <v>3640</v>
      </c>
      <c r="B36" s="12" t="s">
        <v>811</v>
      </c>
      <c r="C36" s="12" t="s">
        <v>813</v>
      </c>
      <c r="D36" s="12" t="s">
        <v>3615</v>
      </c>
      <c r="E36" s="12" t="s">
        <v>20</v>
      </c>
      <c r="F36" s="12" t="s">
        <v>812</v>
      </c>
      <c r="G36" s="12" t="s">
        <v>38</v>
      </c>
      <c r="H36" s="12" t="s">
        <v>20</v>
      </c>
    </row>
    <row r="37" customFormat="false" ht="15" hidden="false" customHeight="false" outlineLevel="0" collapsed="false">
      <c r="A37" s="12" t="s">
        <v>3641</v>
      </c>
      <c r="B37" s="12" t="s">
        <v>824</v>
      </c>
      <c r="C37" s="12" t="s">
        <v>813</v>
      </c>
      <c r="D37" s="12" t="s">
        <v>3615</v>
      </c>
      <c r="E37" s="12" t="s">
        <v>20</v>
      </c>
      <c r="F37" s="12" t="s">
        <v>812</v>
      </c>
      <c r="G37" s="12" t="s">
        <v>38</v>
      </c>
      <c r="H37" s="12" t="s">
        <v>20</v>
      </c>
    </row>
    <row r="38" customFormat="false" ht="15" hidden="false" customHeight="false" outlineLevel="0" collapsed="false">
      <c r="A38" s="12" t="s">
        <v>3642</v>
      </c>
      <c r="B38" s="12" t="s">
        <v>830</v>
      </c>
      <c r="C38" s="12" t="s">
        <v>832</v>
      </c>
      <c r="D38" s="12" t="s">
        <v>3643</v>
      </c>
      <c r="E38" s="12" t="s">
        <v>20</v>
      </c>
      <c r="F38" s="12" t="s">
        <v>831</v>
      </c>
      <c r="G38" s="12" t="s">
        <v>42</v>
      </c>
      <c r="H38" s="12" t="s">
        <v>20</v>
      </c>
    </row>
    <row r="39" customFormat="false" ht="15" hidden="false" customHeight="false" outlineLevel="0" collapsed="false">
      <c r="A39" s="12" t="s">
        <v>3644</v>
      </c>
      <c r="B39" s="12" t="s">
        <v>840</v>
      </c>
      <c r="C39" s="12" t="s">
        <v>832</v>
      </c>
      <c r="D39" s="12" t="s">
        <v>3615</v>
      </c>
      <c r="E39" s="12" t="s">
        <v>20</v>
      </c>
      <c r="F39" s="12" t="s">
        <v>831</v>
      </c>
      <c r="G39" s="12" t="s">
        <v>38</v>
      </c>
      <c r="H39" s="12" t="s">
        <v>20</v>
      </c>
    </row>
    <row r="40" customFormat="false" ht="15" hidden="false" customHeight="false" outlineLevel="0" collapsed="false">
      <c r="A40" s="12" t="s">
        <v>3645</v>
      </c>
      <c r="B40" s="12" t="s">
        <v>751</v>
      </c>
      <c r="C40" s="12" t="s">
        <v>832</v>
      </c>
      <c r="D40" s="12" t="s">
        <v>3615</v>
      </c>
      <c r="E40" s="12" t="s">
        <v>20</v>
      </c>
      <c r="F40" s="12" t="s">
        <v>831</v>
      </c>
      <c r="G40" s="12" t="s">
        <v>38</v>
      </c>
      <c r="H40" s="12" t="s">
        <v>20</v>
      </c>
    </row>
    <row r="41" customFormat="false" ht="15" hidden="false" customHeight="false" outlineLevel="0" collapsed="false">
      <c r="A41" s="12" t="s">
        <v>3646</v>
      </c>
      <c r="B41" s="12" t="s">
        <v>851</v>
      </c>
      <c r="C41" s="12" t="s">
        <v>832</v>
      </c>
      <c r="D41" s="12" t="s">
        <v>3636</v>
      </c>
      <c r="E41" s="12" t="s">
        <v>20</v>
      </c>
      <c r="F41" s="12" t="s">
        <v>831</v>
      </c>
      <c r="G41" s="12" t="s">
        <v>46</v>
      </c>
      <c r="H41" s="12" t="s">
        <v>20</v>
      </c>
    </row>
    <row r="42" customFormat="false" ht="15" hidden="false" customHeight="false" outlineLevel="0" collapsed="false">
      <c r="A42" s="12" t="s">
        <v>3647</v>
      </c>
      <c r="B42" s="12" t="s">
        <v>856</v>
      </c>
      <c r="C42" s="12" t="s">
        <v>832</v>
      </c>
      <c r="D42" s="12" t="s">
        <v>3615</v>
      </c>
      <c r="E42" s="12" t="s">
        <v>20</v>
      </c>
      <c r="F42" s="12" t="s">
        <v>831</v>
      </c>
      <c r="G42" s="12" t="s">
        <v>38</v>
      </c>
      <c r="H42" s="12" t="s">
        <v>20</v>
      </c>
    </row>
    <row r="43" customFormat="false" ht="15" hidden="false" customHeight="false" outlineLevel="0" collapsed="false">
      <c r="A43" s="12" t="s">
        <v>3648</v>
      </c>
      <c r="B43" s="12" t="s">
        <v>1349</v>
      </c>
      <c r="C43" s="12" t="s">
        <v>832</v>
      </c>
      <c r="D43" s="12" t="s">
        <v>50</v>
      </c>
      <c r="E43" s="12" t="s">
        <v>50</v>
      </c>
      <c r="F43" s="12" t="s">
        <v>831</v>
      </c>
      <c r="G43" s="12" t="s">
        <v>50</v>
      </c>
      <c r="H43" s="12" t="s">
        <v>23</v>
      </c>
    </row>
    <row r="44" customFormat="false" ht="15" hidden="false" customHeight="false" outlineLevel="0" collapsed="false">
      <c r="A44" s="12" t="s">
        <v>3649</v>
      </c>
      <c r="B44" s="12" t="s">
        <v>862</v>
      </c>
      <c r="C44" s="12" t="s">
        <v>832</v>
      </c>
      <c r="D44" s="12" t="s">
        <v>3627</v>
      </c>
      <c r="E44" s="12" t="s">
        <v>20</v>
      </c>
      <c r="F44" s="12" t="s">
        <v>831</v>
      </c>
      <c r="G44" s="12" t="s">
        <v>40</v>
      </c>
      <c r="H44" s="12" t="s">
        <v>20</v>
      </c>
    </row>
    <row r="45" customFormat="false" ht="15" hidden="false" customHeight="false" outlineLevel="0" collapsed="false">
      <c r="A45" s="12" t="s">
        <v>3650</v>
      </c>
      <c r="B45" s="12" t="s">
        <v>871</v>
      </c>
      <c r="C45" s="12" t="s">
        <v>832</v>
      </c>
      <c r="D45" s="12" t="s">
        <v>3627</v>
      </c>
      <c r="E45" s="12" t="s">
        <v>20</v>
      </c>
      <c r="F45" s="12" t="s">
        <v>831</v>
      </c>
      <c r="G45" s="12" t="s">
        <v>40</v>
      </c>
      <c r="H45" s="12" t="s">
        <v>20</v>
      </c>
    </row>
    <row r="46" customFormat="false" ht="15" hidden="false" customHeight="false" outlineLevel="0" collapsed="false">
      <c r="A46" s="12" t="s">
        <v>3651</v>
      </c>
      <c r="B46" s="12" t="s">
        <v>881</v>
      </c>
      <c r="C46" s="12" t="s">
        <v>883</v>
      </c>
      <c r="D46" s="12" t="s">
        <v>3652</v>
      </c>
      <c r="E46" s="12" t="s">
        <v>20</v>
      </c>
      <c r="F46" s="12" t="s">
        <v>882</v>
      </c>
      <c r="G46" s="12" t="s">
        <v>47</v>
      </c>
      <c r="H46" s="12" t="s">
        <v>20</v>
      </c>
    </row>
    <row r="47" customFormat="false" ht="15" hidden="false" customHeight="false" outlineLevel="0" collapsed="false">
      <c r="A47" s="12" t="s">
        <v>3653</v>
      </c>
      <c r="B47" s="12" t="s">
        <v>893</v>
      </c>
      <c r="C47" s="12" t="s">
        <v>883</v>
      </c>
      <c r="D47" s="12" t="s">
        <v>3652</v>
      </c>
      <c r="E47" s="12" t="s">
        <v>20</v>
      </c>
      <c r="F47" s="12" t="s">
        <v>882</v>
      </c>
      <c r="G47" s="12" t="s">
        <v>47</v>
      </c>
      <c r="H47" s="12" t="s">
        <v>20</v>
      </c>
    </row>
    <row r="48" customFormat="false" ht="15" hidden="false" customHeight="false" outlineLevel="0" collapsed="false">
      <c r="A48" s="12" t="s">
        <v>3654</v>
      </c>
      <c r="B48" s="12" t="s">
        <v>903</v>
      </c>
      <c r="C48" s="12" t="s">
        <v>883</v>
      </c>
      <c r="D48" s="12" t="s">
        <v>3620</v>
      </c>
      <c r="E48" s="12" t="s">
        <v>20</v>
      </c>
      <c r="F48" s="12" t="s">
        <v>882</v>
      </c>
      <c r="G48" s="12" t="s">
        <v>39</v>
      </c>
      <c r="H48" s="12" t="s">
        <v>20</v>
      </c>
    </row>
    <row r="49" customFormat="false" ht="15" hidden="false" customHeight="false" outlineLevel="0" collapsed="false">
      <c r="A49" s="12" t="s">
        <v>3655</v>
      </c>
      <c r="B49" s="12" t="s">
        <v>910</v>
      </c>
      <c r="C49" s="12" t="s">
        <v>883</v>
      </c>
      <c r="D49" s="12" t="s">
        <v>3615</v>
      </c>
      <c r="E49" s="12" t="s">
        <v>20</v>
      </c>
      <c r="F49" s="12" t="s">
        <v>882</v>
      </c>
      <c r="G49" s="12" t="s">
        <v>38</v>
      </c>
      <c r="H49" s="12" t="s">
        <v>20</v>
      </c>
    </row>
    <row r="50" customFormat="false" ht="15" hidden="false" customHeight="false" outlineLevel="0" collapsed="false">
      <c r="A50" s="12" t="s">
        <v>3656</v>
      </c>
      <c r="B50" s="12" t="s">
        <v>919</v>
      </c>
      <c r="C50" s="12" t="s">
        <v>921</v>
      </c>
      <c r="D50" s="12" t="s">
        <v>3643</v>
      </c>
      <c r="E50" s="12" t="s">
        <v>20</v>
      </c>
      <c r="F50" s="12" t="s">
        <v>920</v>
      </c>
      <c r="G50" s="12" t="s">
        <v>40</v>
      </c>
      <c r="H50" s="12" t="s">
        <v>20</v>
      </c>
    </row>
    <row r="51" customFormat="false" ht="15" hidden="false" customHeight="false" outlineLevel="0" collapsed="false">
      <c r="A51" s="12" t="s">
        <v>3657</v>
      </c>
      <c r="B51" s="12" t="s">
        <v>933</v>
      </c>
      <c r="C51" s="12" t="s">
        <v>921</v>
      </c>
      <c r="D51" s="12" t="s">
        <v>3643</v>
      </c>
      <c r="E51" s="12" t="s">
        <v>20</v>
      </c>
      <c r="F51" s="12" t="s">
        <v>920</v>
      </c>
      <c r="G51" s="12" t="s">
        <v>40</v>
      </c>
      <c r="H51" s="12" t="s">
        <v>20</v>
      </c>
    </row>
    <row r="52" customFormat="false" ht="15" hidden="false" customHeight="false" outlineLevel="0" collapsed="false">
      <c r="A52" s="12" t="s">
        <v>3658</v>
      </c>
      <c r="B52" s="12" t="s">
        <v>938</v>
      </c>
      <c r="C52" s="12" t="s">
        <v>921</v>
      </c>
      <c r="D52" s="12" t="s">
        <v>3659</v>
      </c>
      <c r="E52" s="12" t="s">
        <v>20</v>
      </c>
      <c r="F52" s="12" t="s">
        <v>920</v>
      </c>
      <c r="G52" s="12" t="s">
        <v>48</v>
      </c>
      <c r="H52" s="12" t="s">
        <v>20</v>
      </c>
    </row>
    <row r="53" customFormat="false" ht="15" hidden="false" customHeight="false" outlineLevel="0" collapsed="false">
      <c r="A53" s="12" t="s">
        <v>3660</v>
      </c>
      <c r="B53" s="12" t="s">
        <v>945</v>
      </c>
      <c r="C53" s="12" t="s">
        <v>947</v>
      </c>
      <c r="D53" s="12" t="s">
        <v>3615</v>
      </c>
      <c r="E53" s="12" t="s">
        <v>20</v>
      </c>
      <c r="F53" s="12" t="s">
        <v>946</v>
      </c>
      <c r="G53" s="12" t="s">
        <v>38</v>
      </c>
      <c r="H53" s="12" t="s">
        <v>20</v>
      </c>
    </row>
    <row r="54" customFormat="false" ht="15" hidden="false" customHeight="false" outlineLevel="0" collapsed="false">
      <c r="A54" s="12" t="s">
        <v>3661</v>
      </c>
      <c r="B54" s="12" t="s">
        <v>1320</v>
      </c>
      <c r="C54" s="12" t="s">
        <v>947</v>
      </c>
      <c r="D54" s="12" t="s">
        <v>22</v>
      </c>
      <c r="E54" s="12" t="s">
        <v>22</v>
      </c>
      <c r="F54" s="12" t="s">
        <v>946</v>
      </c>
      <c r="G54" s="12" t="s">
        <v>49</v>
      </c>
      <c r="H54" s="12" t="s">
        <v>22</v>
      </c>
    </row>
    <row r="55" customFormat="false" ht="15" hidden="false" customHeight="false" outlineLevel="0" collapsed="false">
      <c r="A55" s="12" t="s">
        <v>3662</v>
      </c>
      <c r="B55" s="12" t="s">
        <v>957</v>
      </c>
      <c r="C55" s="12" t="s">
        <v>947</v>
      </c>
      <c r="D55" s="12" t="s">
        <v>3636</v>
      </c>
      <c r="E55" s="12" t="s">
        <v>20</v>
      </c>
      <c r="F55" s="12" t="s">
        <v>946</v>
      </c>
      <c r="G55" s="12" t="s">
        <v>46</v>
      </c>
      <c r="H55" s="12" t="s">
        <v>20</v>
      </c>
    </row>
    <row r="56" customFormat="false" ht="15" hidden="false" customHeight="false" outlineLevel="0" collapsed="false">
      <c r="A56" s="12" t="s">
        <v>3663</v>
      </c>
      <c r="B56" s="12" t="s">
        <v>967</v>
      </c>
      <c r="C56" s="12" t="s">
        <v>947</v>
      </c>
      <c r="D56" s="12" t="s">
        <v>3630</v>
      </c>
      <c r="E56" s="12" t="s">
        <v>20</v>
      </c>
      <c r="F56" s="12" t="s">
        <v>946</v>
      </c>
      <c r="G56" s="12" t="s">
        <v>47</v>
      </c>
      <c r="H56" s="12" t="s">
        <v>20</v>
      </c>
    </row>
    <row r="57" customFormat="false" ht="15" hidden="false" customHeight="false" outlineLevel="0" collapsed="false">
      <c r="A57" s="12" t="s">
        <v>3664</v>
      </c>
      <c r="B57" s="12" t="s">
        <v>971</v>
      </c>
      <c r="C57" s="12" t="s">
        <v>947</v>
      </c>
      <c r="D57" s="12" t="s">
        <v>3636</v>
      </c>
      <c r="E57" s="12" t="s">
        <v>20</v>
      </c>
      <c r="F57" s="12" t="s">
        <v>946</v>
      </c>
      <c r="G57" s="12" t="s">
        <v>46</v>
      </c>
      <c r="H57" s="12" t="s">
        <v>20</v>
      </c>
    </row>
    <row r="58" customFormat="false" ht="15" hidden="false" customHeight="false" outlineLevel="0" collapsed="false">
      <c r="A58" s="12" t="s">
        <v>3665</v>
      </c>
      <c r="B58" s="12" t="s">
        <v>977</v>
      </c>
      <c r="C58" s="12" t="s">
        <v>947</v>
      </c>
      <c r="D58" s="12" t="s">
        <v>3615</v>
      </c>
      <c r="E58" s="12" t="s">
        <v>20</v>
      </c>
      <c r="F58" s="12" t="s">
        <v>946</v>
      </c>
      <c r="G58" s="12" t="s">
        <v>38</v>
      </c>
      <c r="H58" s="12" t="s">
        <v>20</v>
      </c>
    </row>
    <row r="59" customFormat="false" ht="15" hidden="false" customHeight="false" outlineLevel="0" collapsed="false">
      <c r="A59" s="12" t="s">
        <v>3666</v>
      </c>
      <c r="B59" s="12" t="s">
        <v>1354</v>
      </c>
      <c r="C59" s="12" t="s">
        <v>947</v>
      </c>
      <c r="D59" s="12" t="s">
        <v>50</v>
      </c>
      <c r="E59" s="12" t="s">
        <v>50</v>
      </c>
      <c r="F59" s="12" t="s">
        <v>946</v>
      </c>
      <c r="G59" s="12" t="s">
        <v>50</v>
      </c>
      <c r="H59" s="12" t="s">
        <v>23</v>
      </c>
    </row>
    <row r="60" customFormat="false" ht="15" hidden="false" customHeight="false" outlineLevel="0" collapsed="false">
      <c r="A60" s="12" t="s">
        <v>3667</v>
      </c>
      <c r="B60" s="12" t="s">
        <v>984</v>
      </c>
      <c r="C60" s="12" t="s">
        <v>947</v>
      </c>
      <c r="D60" s="12" t="s">
        <v>3615</v>
      </c>
      <c r="E60" s="12" t="s">
        <v>20</v>
      </c>
      <c r="F60" s="12" t="s">
        <v>946</v>
      </c>
      <c r="G60" s="12" t="s">
        <v>38</v>
      </c>
      <c r="H60" s="12" t="s">
        <v>20</v>
      </c>
    </row>
    <row r="61" customFormat="false" ht="15" hidden="false" customHeight="false" outlineLevel="0" collapsed="false">
      <c r="A61" s="12" t="s">
        <v>3668</v>
      </c>
      <c r="B61" s="12" t="s">
        <v>996</v>
      </c>
      <c r="C61" s="12" t="s">
        <v>947</v>
      </c>
      <c r="D61" s="12" t="s">
        <v>3627</v>
      </c>
      <c r="E61" s="12" t="s">
        <v>20</v>
      </c>
      <c r="F61" s="12" t="s">
        <v>946</v>
      </c>
      <c r="G61" s="12" t="s">
        <v>41</v>
      </c>
      <c r="H61" s="12" t="s">
        <v>20</v>
      </c>
    </row>
    <row r="62" customFormat="false" ht="15" hidden="false" customHeight="false" outlineLevel="0" collapsed="false">
      <c r="A62" s="12" t="s">
        <v>3669</v>
      </c>
      <c r="B62" s="12" t="s">
        <v>1330</v>
      </c>
      <c r="C62" s="12" t="s">
        <v>947</v>
      </c>
      <c r="D62" s="12" t="s">
        <v>22</v>
      </c>
      <c r="E62" s="12" t="s">
        <v>22</v>
      </c>
      <c r="F62" s="12" t="s">
        <v>946</v>
      </c>
      <c r="G62" s="12" t="s">
        <v>49</v>
      </c>
      <c r="H62" s="12" t="s">
        <v>22</v>
      </c>
    </row>
    <row r="63" customFormat="false" ht="15" hidden="false" customHeight="false" outlineLevel="0" collapsed="false">
      <c r="A63" s="12" t="s">
        <v>3670</v>
      </c>
      <c r="B63" s="12" t="s">
        <v>1007</v>
      </c>
      <c r="C63" s="12" t="s">
        <v>1009</v>
      </c>
      <c r="D63" s="12" t="s">
        <v>3615</v>
      </c>
      <c r="E63" s="12" t="s">
        <v>20</v>
      </c>
      <c r="F63" s="12" t="s">
        <v>1008</v>
      </c>
      <c r="G63" s="12" t="s">
        <v>38</v>
      </c>
      <c r="H63" s="12" t="s">
        <v>20</v>
      </c>
    </row>
    <row r="64" customFormat="false" ht="15" hidden="false" customHeight="false" outlineLevel="0" collapsed="false">
      <c r="A64" s="12" t="s">
        <v>3671</v>
      </c>
      <c r="B64" s="12" t="s">
        <v>1021</v>
      </c>
      <c r="C64" s="12" t="s">
        <v>1009</v>
      </c>
      <c r="D64" s="12" t="s">
        <v>3636</v>
      </c>
      <c r="E64" s="12" t="s">
        <v>20</v>
      </c>
      <c r="F64" s="12" t="s">
        <v>1008</v>
      </c>
      <c r="G64" s="12" t="s">
        <v>46</v>
      </c>
      <c r="H64" s="12" t="s">
        <v>20</v>
      </c>
    </row>
    <row r="65" customFormat="false" ht="15" hidden="false" customHeight="false" outlineLevel="0" collapsed="false">
      <c r="A65" s="12" t="s">
        <v>3672</v>
      </c>
      <c r="B65" s="12" t="s">
        <v>1027</v>
      </c>
      <c r="C65" s="12" t="s">
        <v>1029</v>
      </c>
      <c r="D65" s="12" t="s">
        <v>3615</v>
      </c>
      <c r="E65" s="12" t="s">
        <v>20</v>
      </c>
      <c r="F65" s="12" t="s">
        <v>1028</v>
      </c>
      <c r="G65" s="12" t="s">
        <v>38</v>
      </c>
      <c r="H65" s="12" t="s">
        <v>20</v>
      </c>
    </row>
    <row r="66" customFormat="false" ht="15" hidden="false" customHeight="false" outlineLevel="0" collapsed="false">
      <c r="A66" s="12" t="s">
        <v>3673</v>
      </c>
      <c r="B66" s="12" t="s">
        <v>1039</v>
      </c>
      <c r="C66" s="12" t="s">
        <v>1041</v>
      </c>
      <c r="D66" s="12" t="s">
        <v>3627</v>
      </c>
      <c r="E66" s="12" t="s">
        <v>20</v>
      </c>
      <c r="F66" s="12" t="s">
        <v>1040</v>
      </c>
      <c r="G66" s="12" t="s">
        <v>40</v>
      </c>
      <c r="H66" s="12" t="s">
        <v>20</v>
      </c>
    </row>
    <row r="67" customFormat="false" ht="15" hidden="false" customHeight="false" outlineLevel="0" collapsed="false">
      <c r="A67" s="12" t="s">
        <v>3674</v>
      </c>
      <c r="B67" s="12" t="s">
        <v>1051</v>
      </c>
      <c r="C67" s="12" t="s">
        <v>1041</v>
      </c>
      <c r="D67" s="12" t="s">
        <v>3615</v>
      </c>
      <c r="E67" s="12" t="s">
        <v>20</v>
      </c>
      <c r="F67" s="12" t="s">
        <v>1040</v>
      </c>
      <c r="G67" s="12" t="s">
        <v>38</v>
      </c>
      <c r="H67" s="12" t="s">
        <v>20</v>
      </c>
    </row>
    <row r="68" customFormat="false" ht="15" hidden="false" customHeight="false" outlineLevel="0" collapsed="false">
      <c r="A68" s="12" t="s">
        <v>3675</v>
      </c>
      <c r="B68" s="12" t="s">
        <v>1059</v>
      </c>
      <c r="C68" s="12" t="s">
        <v>1041</v>
      </c>
      <c r="D68" s="12" t="s">
        <v>3615</v>
      </c>
      <c r="E68" s="12" t="s">
        <v>20</v>
      </c>
      <c r="F68" s="12" t="s">
        <v>1040</v>
      </c>
      <c r="G68" s="12" t="s">
        <v>38</v>
      </c>
      <c r="H68" s="12" t="s">
        <v>20</v>
      </c>
    </row>
    <row r="69" customFormat="false" ht="15" hidden="false" customHeight="false" outlineLevel="0" collapsed="false">
      <c r="A69" s="12" t="s">
        <v>3676</v>
      </c>
      <c r="B69" s="12" t="s">
        <v>1066</v>
      </c>
      <c r="C69" s="12" t="s">
        <v>1068</v>
      </c>
      <c r="D69" s="12" t="s">
        <v>3615</v>
      </c>
      <c r="E69" s="12" t="s">
        <v>20</v>
      </c>
      <c r="F69" s="12" t="s">
        <v>1067</v>
      </c>
      <c r="G69" s="12" t="s">
        <v>38</v>
      </c>
      <c r="H69" s="12" t="s">
        <v>20</v>
      </c>
    </row>
    <row r="70" customFormat="false" ht="15" hidden="false" customHeight="false" outlineLevel="0" collapsed="false">
      <c r="A70" s="12" t="s">
        <v>3677</v>
      </c>
      <c r="B70" s="12" t="s">
        <v>1079</v>
      </c>
      <c r="C70" s="12" t="s">
        <v>1081</v>
      </c>
      <c r="D70" s="12" t="s">
        <v>3615</v>
      </c>
      <c r="E70" s="12" t="s">
        <v>20</v>
      </c>
      <c r="F70" s="12" t="s">
        <v>1080</v>
      </c>
      <c r="G70" s="12" t="s">
        <v>38</v>
      </c>
      <c r="H70" s="12" t="s">
        <v>20</v>
      </c>
    </row>
    <row r="71" customFormat="false" ht="15" hidden="false" customHeight="false" outlineLevel="0" collapsed="false">
      <c r="A71" s="12" t="s">
        <v>3678</v>
      </c>
      <c r="B71" s="12" t="s">
        <v>1090</v>
      </c>
      <c r="C71" s="12" t="s">
        <v>1081</v>
      </c>
      <c r="D71" s="12" t="s">
        <v>3620</v>
      </c>
      <c r="E71" s="12" t="s">
        <v>20</v>
      </c>
      <c r="F71" s="12" t="s">
        <v>1080</v>
      </c>
      <c r="G71" s="12" t="s">
        <v>39</v>
      </c>
      <c r="H71" s="12" t="s">
        <v>20</v>
      </c>
    </row>
    <row r="72" customFormat="false" ht="15" hidden="false" customHeight="false" outlineLevel="0" collapsed="false">
      <c r="A72" s="12" t="s">
        <v>3679</v>
      </c>
      <c r="B72" s="12" t="s">
        <v>1101</v>
      </c>
      <c r="C72" s="12" t="s">
        <v>1103</v>
      </c>
      <c r="D72" s="12" t="s">
        <v>3627</v>
      </c>
      <c r="E72" s="12" t="s">
        <v>20</v>
      </c>
      <c r="F72" s="12" t="s">
        <v>1102</v>
      </c>
      <c r="G72" s="12" t="s">
        <v>40</v>
      </c>
      <c r="H72" s="12" t="s">
        <v>20</v>
      </c>
    </row>
    <row r="73" customFormat="false" ht="15" hidden="false" customHeight="false" outlineLevel="0" collapsed="false">
      <c r="A73" s="12" t="s">
        <v>3680</v>
      </c>
      <c r="B73" s="12" t="s">
        <v>1114</v>
      </c>
      <c r="C73" s="12" t="s">
        <v>1103</v>
      </c>
      <c r="D73" s="12" t="s">
        <v>3615</v>
      </c>
      <c r="E73" s="12" t="s">
        <v>20</v>
      </c>
      <c r="F73" s="12" t="s">
        <v>1102</v>
      </c>
      <c r="G73" s="12" t="s">
        <v>38</v>
      </c>
      <c r="H73" s="12" t="s">
        <v>20</v>
      </c>
    </row>
    <row r="74" customFormat="false" ht="15" hidden="false" customHeight="false" outlineLevel="0" collapsed="false">
      <c r="A74" s="12" t="s">
        <v>3681</v>
      </c>
      <c r="B74" s="12" t="s">
        <v>1129</v>
      </c>
      <c r="C74" s="12" t="s">
        <v>1131</v>
      </c>
      <c r="D74" s="12" t="s">
        <v>3615</v>
      </c>
      <c r="E74" s="12" t="s">
        <v>20</v>
      </c>
      <c r="F74" s="12" t="s">
        <v>1130</v>
      </c>
      <c r="G74" s="12" t="s">
        <v>38</v>
      </c>
      <c r="H74" s="12" t="s">
        <v>20</v>
      </c>
    </row>
    <row r="75" customFormat="false" ht="15" hidden="false" customHeight="false" outlineLevel="0" collapsed="false">
      <c r="A75" s="12" t="s">
        <v>3682</v>
      </c>
      <c r="B75" s="12" t="s">
        <v>1150</v>
      </c>
      <c r="C75" s="12" t="s">
        <v>1131</v>
      </c>
      <c r="D75" s="12" t="s">
        <v>3615</v>
      </c>
      <c r="E75" s="12" t="s">
        <v>20</v>
      </c>
      <c r="F75" s="12" t="s">
        <v>1130</v>
      </c>
      <c r="G75" s="12" t="s">
        <v>38</v>
      </c>
      <c r="H75" s="12" t="s">
        <v>20</v>
      </c>
    </row>
    <row r="76" customFormat="false" ht="15" hidden="false" customHeight="false" outlineLevel="0" collapsed="false">
      <c r="A76" s="12" t="s">
        <v>3683</v>
      </c>
      <c r="B76" s="12" t="s">
        <v>1159</v>
      </c>
      <c r="C76" s="12" t="s">
        <v>1131</v>
      </c>
      <c r="D76" s="12" t="s">
        <v>3625</v>
      </c>
      <c r="E76" s="12" t="s">
        <v>20</v>
      </c>
      <c r="F76" s="12" t="s">
        <v>1130</v>
      </c>
      <c r="G76" s="12" t="s">
        <v>45</v>
      </c>
      <c r="H76" s="12" t="s">
        <v>20</v>
      </c>
    </row>
    <row r="77" customFormat="false" ht="15" hidden="false" customHeight="false" outlineLevel="0" collapsed="false">
      <c r="A77" s="12" t="s">
        <v>3684</v>
      </c>
      <c r="B77" s="12" t="s">
        <v>1168</v>
      </c>
      <c r="C77" s="12" t="s">
        <v>1131</v>
      </c>
      <c r="D77" s="12" t="s">
        <v>3615</v>
      </c>
      <c r="E77" s="12" t="s">
        <v>20</v>
      </c>
      <c r="F77" s="12" t="s">
        <v>1130</v>
      </c>
      <c r="G77" s="12" t="s">
        <v>38</v>
      </c>
      <c r="H77" s="12" t="s">
        <v>20</v>
      </c>
    </row>
    <row r="78" customFormat="false" ht="15" hidden="false" customHeight="false" outlineLevel="0" collapsed="false">
      <c r="A78" s="12" t="s">
        <v>3685</v>
      </c>
      <c r="B78" s="12" t="s">
        <v>1175</v>
      </c>
      <c r="C78" s="12" t="s">
        <v>1177</v>
      </c>
      <c r="D78" s="12" t="s">
        <v>3615</v>
      </c>
      <c r="E78" s="12" t="s">
        <v>20</v>
      </c>
      <c r="F78" s="12" t="s">
        <v>1176</v>
      </c>
      <c r="G78" s="12" t="s">
        <v>38</v>
      </c>
      <c r="H78" s="12" t="s">
        <v>20</v>
      </c>
    </row>
    <row r="79" customFormat="false" ht="15" hidden="false" customHeight="false" outlineLevel="0" collapsed="false">
      <c r="A79" s="12" t="s">
        <v>3686</v>
      </c>
      <c r="B79" s="12" t="s">
        <v>751</v>
      </c>
      <c r="C79" s="12" t="s">
        <v>1186</v>
      </c>
      <c r="D79" s="12" t="s">
        <v>3615</v>
      </c>
      <c r="E79" s="12" t="s">
        <v>20</v>
      </c>
      <c r="F79" s="12" t="s">
        <v>1185</v>
      </c>
      <c r="G79" s="12" t="s">
        <v>38</v>
      </c>
      <c r="H79" s="12" t="s">
        <v>20</v>
      </c>
    </row>
    <row r="80" customFormat="false" ht="15" hidden="false" customHeight="false" outlineLevel="0" collapsed="false">
      <c r="A80" s="12" t="s">
        <v>3687</v>
      </c>
      <c r="B80" s="12" t="s">
        <v>1341</v>
      </c>
      <c r="C80" s="12" t="s">
        <v>1186</v>
      </c>
      <c r="D80" s="12" t="s">
        <v>22</v>
      </c>
      <c r="E80" s="12" t="s">
        <v>22</v>
      </c>
      <c r="F80" s="12" t="s">
        <v>1185</v>
      </c>
      <c r="G80" s="12" t="s">
        <v>49</v>
      </c>
      <c r="H80" s="12" t="s">
        <v>22</v>
      </c>
    </row>
    <row r="81" customFormat="false" ht="15" hidden="false" customHeight="false" outlineLevel="0" collapsed="false">
      <c r="A81" s="12" t="s">
        <v>3688</v>
      </c>
      <c r="B81" s="12" t="s">
        <v>1196</v>
      </c>
      <c r="C81" s="12" t="s">
        <v>1186</v>
      </c>
      <c r="D81" s="12" t="s">
        <v>3689</v>
      </c>
      <c r="E81" s="12" t="s">
        <v>20</v>
      </c>
      <c r="F81" s="12" t="s">
        <v>1185</v>
      </c>
      <c r="G81" s="12" t="s">
        <v>42</v>
      </c>
      <c r="H81" s="12" t="s">
        <v>20</v>
      </c>
    </row>
    <row r="82" customFormat="false" ht="15" hidden="false" customHeight="false" outlineLevel="0" collapsed="false">
      <c r="A82" s="12" t="s">
        <v>3690</v>
      </c>
      <c r="B82" s="12" t="s">
        <v>1209</v>
      </c>
      <c r="C82" s="12" t="s">
        <v>1186</v>
      </c>
      <c r="D82" s="12" t="s">
        <v>3691</v>
      </c>
      <c r="E82" s="12" t="s">
        <v>20</v>
      </c>
      <c r="F82" s="12" t="s">
        <v>1185</v>
      </c>
      <c r="G82" s="12" t="s">
        <v>42</v>
      </c>
      <c r="H82" s="12" t="s">
        <v>20</v>
      </c>
    </row>
    <row r="83" customFormat="false" ht="15" hidden="false" customHeight="false" outlineLevel="0" collapsed="false">
      <c r="A83" s="12" t="s">
        <v>3692</v>
      </c>
      <c r="B83" s="12" t="s">
        <v>1218</v>
      </c>
      <c r="C83" s="12" t="s">
        <v>1220</v>
      </c>
      <c r="D83" s="12" t="s">
        <v>3615</v>
      </c>
      <c r="E83" s="12" t="s">
        <v>20</v>
      </c>
      <c r="F83" s="12" t="s">
        <v>1219</v>
      </c>
      <c r="G83" s="12" t="s">
        <v>47</v>
      </c>
      <c r="H83" s="12" t="s">
        <v>20</v>
      </c>
    </row>
    <row r="84" customFormat="false" ht="15" hidden="false" customHeight="false" outlineLevel="0" collapsed="false">
      <c r="A84" s="12" t="s">
        <v>3693</v>
      </c>
      <c r="B84" s="12" t="s">
        <v>1229</v>
      </c>
      <c r="C84" s="12" t="s">
        <v>1220</v>
      </c>
      <c r="D84" s="12" t="s">
        <v>3615</v>
      </c>
      <c r="E84" s="12" t="s">
        <v>20</v>
      </c>
      <c r="F84" s="12" t="s">
        <v>1219</v>
      </c>
      <c r="G84" s="12" t="s">
        <v>38</v>
      </c>
      <c r="H84" s="12" t="s">
        <v>20</v>
      </c>
    </row>
    <row r="85" customFormat="false" ht="15" hidden="false" customHeight="false" outlineLevel="0" collapsed="false">
      <c r="A85" s="12" t="s">
        <v>3694</v>
      </c>
      <c r="B85" s="12" t="s">
        <v>1234</v>
      </c>
      <c r="C85" s="12" t="s">
        <v>1236</v>
      </c>
      <c r="D85" s="12" t="s">
        <v>3695</v>
      </c>
      <c r="E85" s="12" t="s">
        <v>20</v>
      </c>
      <c r="F85" s="12" t="s">
        <v>1235</v>
      </c>
      <c r="G85" s="12" t="s">
        <v>46</v>
      </c>
      <c r="H85" s="12" t="s">
        <v>20</v>
      </c>
    </row>
    <row r="86" customFormat="false" ht="15" hidden="false" customHeight="false" outlineLevel="0" collapsed="false">
      <c r="A86" s="12" t="s">
        <v>3696</v>
      </c>
      <c r="B86" s="12" t="s">
        <v>1362</v>
      </c>
      <c r="C86" s="12" t="s">
        <v>1236</v>
      </c>
      <c r="D86" s="12" t="s">
        <v>50</v>
      </c>
      <c r="E86" s="12" t="s">
        <v>50</v>
      </c>
      <c r="F86" s="12" t="s">
        <v>1235</v>
      </c>
      <c r="G86" s="12" t="s">
        <v>50</v>
      </c>
      <c r="H86" s="12" t="s">
        <v>23</v>
      </c>
    </row>
    <row r="87" customFormat="false" ht="15" hidden="false" customHeight="false" outlineLevel="0" collapsed="false">
      <c r="A87" s="12" t="s">
        <v>3697</v>
      </c>
      <c r="B87" s="12" t="s">
        <v>1260</v>
      </c>
      <c r="C87" s="12" t="s">
        <v>1262</v>
      </c>
      <c r="D87" s="12" t="s">
        <v>3698</v>
      </c>
      <c r="E87" s="12" t="s">
        <v>21</v>
      </c>
      <c r="F87" s="12" t="s">
        <v>1261</v>
      </c>
      <c r="G87" s="12" t="s">
        <v>38</v>
      </c>
      <c r="H87" s="12" t="s">
        <v>21</v>
      </c>
    </row>
    <row r="88" customFormat="false" ht="15" hidden="false" customHeight="false" outlineLevel="0" collapsed="false">
      <c r="A88" s="12" t="s">
        <v>3699</v>
      </c>
      <c r="B88" s="12" t="s">
        <v>751</v>
      </c>
      <c r="C88" s="12" t="s">
        <v>1262</v>
      </c>
      <c r="D88" s="12" t="s">
        <v>3698</v>
      </c>
      <c r="E88" s="12" t="s">
        <v>21</v>
      </c>
      <c r="F88" s="12" t="s">
        <v>1261</v>
      </c>
      <c r="G88" s="12" t="s">
        <v>38</v>
      </c>
      <c r="H88" s="12" t="s">
        <v>21</v>
      </c>
    </row>
    <row r="89" customFormat="false" ht="15" hidden="false" customHeight="false" outlineLevel="0" collapsed="false">
      <c r="A89" s="12" t="s">
        <v>3700</v>
      </c>
      <c r="B89" s="12" t="s">
        <v>1277</v>
      </c>
      <c r="C89" s="12" t="s">
        <v>1279</v>
      </c>
      <c r="D89" s="12" t="s">
        <v>3698</v>
      </c>
      <c r="E89" s="12" t="s">
        <v>21</v>
      </c>
      <c r="F89" s="12" t="s">
        <v>1278</v>
      </c>
      <c r="G89" s="12" t="s">
        <v>38</v>
      </c>
      <c r="H89" s="12" t="s">
        <v>21</v>
      </c>
    </row>
    <row r="90" customFormat="false" ht="15" hidden="false" customHeight="false" outlineLevel="0" collapsed="false">
      <c r="A90" s="12" t="s">
        <v>3701</v>
      </c>
      <c r="B90" s="12" t="s">
        <v>751</v>
      </c>
      <c r="C90" s="12" t="s">
        <v>1279</v>
      </c>
      <c r="D90" s="12" t="s">
        <v>3698</v>
      </c>
      <c r="E90" s="12" t="s">
        <v>21</v>
      </c>
      <c r="F90" s="12" t="s">
        <v>1278</v>
      </c>
      <c r="G90" s="12" t="s">
        <v>38</v>
      </c>
      <c r="H90" s="12" t="s">
        <v>21</v>
      </c>
    </row>
    <row r="91" customFormat="false" ht="15" hidden="false" customHeight="false" outlineLevel="0" collapsed="false">
      <c r="A91" s="12" t="s">
        <v>3702</v>
      </c>
      <c r="B91" s="12" t="s">
        <v>751</v>
      </c>
      <c r="C91" s="12" t="s">
        <v>1294</v>
      </c>
      <c r="D91" s="12" t="s">
        <v>3698</v>
      </c>
      <c r="E91" s="12" t="s">
        <v>21</v>
      </c>
      <c r="F91" s="12" t="s">
        <v>1293</v>
      </c>
      <c r="G91" s="12" t="s">
        <v>38</v>
      </c>
      <c r="H91" s="12" t="s">
        <v>21</v>
      </c>
    </row>
    <row r="92" customFormat="false" ht="15" hidden="false" customHeight="false" outlineLevel="0" collapsed="false">
      <c r="A92" s="12" t="s">
        <v>3703</v>
      </c>
      <c r="B92" s="12" t="s">
        <v>1302</v>
      </c>
      <c r="C92" s="12" t="s">
        <v>1294</v>
      </c>
      <c r="D92" s="12" t="s">
        <v>3698</v>
      </c>
      <c r="E92" s="12" t="s">
        <v>21</v>
      </c>
      <c r="F92" s="12" t="s">
        <v>1293</v>
      </c>
      <c r="G92" s="12" t="s">
        <v>38</v>
      </c>
      <c r="H92" s="12" t="s">
        <v>21</v>
      </c>
    </row>
    <row r="93" customFormat="false" ht="15" hidden="false" customHeight="false" outlineLevel="0" collapsed="false">
      <c r="A93" s="12" t="s">
        <v>3704</v>
      </c>
      <c r="B93" s="12" t="s">
        <v>390</v>
      </c>
      <c r="C93" s="12" t="s">
        <v>150</v>
      </c>
      <c r="D93" s="12" t="s">
        <v>3705</v>
      </c>
      <c r="E93" s="12" t="s">
        <v>43</v>
      </c>
      <c r="F93" s="12" t="s">
        <v>391</v>
      </c>
      <c r="G93" s="12" t="s">
        <v>43</v>
      </c>
      <c r="H93" s="12" t="s">
        <v>19</v>
      </c>
    </row>
    <row r="94" customFormat="false" ht="15" hidden="false" customHeight="false" outlineLevel="0" collapsed="false">
      <c r="A94" s="12" t="s">
        <v>3706</v>
      </c>
      <c r="B94" s="12" t="s">
        <v>409</v>
      </c>
      <c r="C94" s="12" t="s">
        <v>150</v>
      </c>
      <c r="D94" s="12" t="s">
        <v>3705</v>
      </c>
      <c r="E94" s="12" t="s">
        <v>43</v>
      </c>
      <c r="F94" s="12" t="s">
        <v>391</v>
      </c>
      <c r="G94" s="12" t="s">
        <v>43</v>
      </c>
      <c r="H94" s="12" t="s">
        <v>19</v>
      </c>
    </row>
    <row r="95" customFormat="false" ht="15" hidden="false" customHeight="false" outlineLevel="0" collapsed="false">
      <c r="A95" s="12" t="s">
        <v>3707</v>
      </c>
      <c r="B95" s="12" t="s">
        <v>424</v>
      </c>
      <c r="C95" s="12" t="s">
        <v>150</v>
      </c>
      <c r="D95" s="12" t="s">
        <v>3705</v>
      </c>
      <c r="E95" s="12" t="s">
        <v>43</v>
      </c>
      <c r="F95" s="12" t="s">
        <v>391</v>
      </c>
      <c r="G95" s="12" t="s">
        <v>43</v>
      </c>
      <c r="H95" s="12" t="s">
        <v>19</v>
      </c>
    </row>
    <row r="96" customFormat="false" ht="15" hidden="false" customHeight="false" outlineLevel="0" collapsed="false">
      <c r="A96" s="12" t="s">
        <v>3708</v>
      </c>
      <c r="B96" s="12" t="s">
        <v>436</v>
      </c>
      <c r="C96" s="12" t="s">
        <v>150</v>
      </c>
      <c r="D96" s="12" t="s">
        <v>3705</v>
      </c>
      <c r="E96" s="12" t="s">
        <v>43</v>
      </c>
      <c r="F96" s="12" t="s">
        <v>437</v>
      </c>
      <c r="G96" s="12" t="s">
        <v>43</v>
      </c>
      <c r="H96" s="12" t="s">
        <v>19</v>
      </c>
    </row>
    <row r="97" customFormat="false" ht="15" hidden="false" customHeight="false" outlineLevel="0" collapsed="false">
      <c r="A97" s="12" t="s">
        <v>3709</v>
      </c>
      <c r="B97" s="12" t="s">
        <v>445</v>
      </c>
      <c r="C97" s="12" t="s">
        <v>150</v>
      </c>
      <c r="D97" s="12" t="s">
        <v>3705</v>
      </c>
      <c r="E97" s="12" t="s">
        <v>43</v>
      </c>
      <c r="F97" s="12" t="s">
        <v>446</v>
      </c>
      <c r="G97" s="12" t="s">
        <v>43</v>
      </c>
      <c r="H97" s="12" t="s">
        <v>19</v>
      </c>
    </row>
    <row r="98" customFormat="false" ht="15" hidden="false" customHeight="false" outlineLevel="0" collapsed="false">
      <c r="A98" s="12" t="s">
        <v>3710</v>
      </c>
      <c r="B98" s="12" t="s">
        <v>458</v>
      </c>
      <c r="C98" s="12" t="s">
        <v>150</v>
      </c>
      <c r="D98" s="12" t="s">
        <v>3705</v>
      </c>
      <c r="E98" s="12" t="s">
        <v>43</v>
      </c>
      <c r="F98" s="12" t="s">
        <v>459</v>
      </c>
      <c r="G98" s="12" t="s">
        <v>43</v>
      </c>
      <c r="H98" s="12" t="s">
        <v>19</v>
      </c>
    </row>
    <row r="99" customFormat="false" ht="15" hidden="false" customHeight="false" outlineLevel="0" collapsed="false">
      <c r="A99" s="12" t="s">
        <v>3711</v>
      </c>
      <c r="B99" s="12" t="s">
        <v>469</v>
      </c>
      <c r="C99" s="12" t="s">
        <v>150</v>
      </c>
      <c r="D99" s="12" t="s">
        <v>470</v>
      </c>
      <c r="E99" s="12" t="s">
        <v>470</v>
      </c>
      <c r="F99" s="12" t="s">
        <v>470</v>
      </c>
      <c r="G99" s="12" t="s">
        <v>45</v>
      </c>
      <c r="H99" s="12" t="s">
        <v>19</v>
      </c>
    </row>
    <row r="100" customFormat="false" ht="15" hidden="false" customHeight="false" outlineLevel="0" collapsed="false">
      <c r="A100" s="12" t="s">
        <v>3712</v>
      </c>
      <c r="B100" s="12" t="s">
        <v>482</v>
      </c>
      <c r="C100" s="12" t="s">
        <v>150</v>
      </c>
      <c r="D100" s="12" t="s">
        <v>3602</v>
      </c>
      <c r="E100" s="12" t="s">
        <v>483</v>
      </c>
      <c r="F100" s="12" t="s">
        <v>483</v>
      </c>
      <c r="G100" s="12" t="s">
        <v>44</v>
      </c>
      <c r="H100" s="12" t="s">
        <v>19</v>
      </c>
    </row>
    <row r="101" customFormat="false" ht="15" hidden="false" customHeight="false" outlineLevel="0" collapsed="false">
      <c r="A101" s="12" t="s">
        <v>3713</v>
      </c>
      <c r="B101" s="12" t="s">
        <v>494</v>
      </c>
      <c r="C101" s="12" t="s">
        <v>150</v>
      </c>
      <c r="D101" s="12" t="s">
        <v>3602</v>
      </c>
      <c r="E101" s="12" t="s">
        <v>483</v>
      </c>
      <c r="F101" s="12" t="s">
        <v>483</v>
      </c>
      <c r="G101" s="12" t="s">
        <v>44</v>
      </c>
      <c r="H101" s="12" t="s">
        <v>19</v>
      </c>
    </row>
    <row r="102" customFormat="false" ht="15" hidden="false" customHeight="false" outlineLevel="0" collapsed="false">
      <c r="A102" s="12" t="s">
        <v>3714</v>
      </c>
      <c r="B102" s="12" t="s">
        <v>506</v>
      </c>
      <c r="C102" s="12" t="s">
        <v>150</v>
      </c>
      <c r="D102" s="12" t="s">
        <v>3705</v>
      </c>
      <c r="E102" s="12" t="s">
        <v>43</v>
      </c>
      <c r="F102" s="12" t="s">
        <v>391</v>
      </c>
      <c r="G102" s="12" t="s">
        <v>43</v>
      </c>
      <c r="H102" s="12" t="s">
        <v>19</v>
      </c>
    </row>
    <row r="103" customFormat="false" ht="15" hidden="false" customHeight="false" outlineLevel="0" collapsed="false">
      <c r="A103" s="12" t="s">
        <v>3715</v>
      </c>
      <c r="B103" s="12" t="s">
        <v>519</v>
      </c>
      <c r="C103" s="12" t="s">
        <v>150</v>
      </c>
      <c r="D103" s="12" t="s">
        <v>3716</v>
      </c>
      <c r="E103" s="12" t="s">
        <v>3717</v>
      </c>
      <c r="F103" s="12" t="s">
        <v>520</v>
      </c>
      <c r="G103" s="12" t="s">
        <v>48</v>
      </c>
      <c r="H103" s="12" t="s">
        <v>19</v>
      </c>
    </row>
    <row r="104" customFormat="false" ht="15" hidden="false" customHeight="false" outlineLevel="0" collapsed="false">
      <c r="A104" s="12" t="s">
        <v>3718</v>
      </c>
      <c r="B104" s="12" t="s">
        <v>536</v>
      </c>
      <c r="C104" s="12" t="s">
        <v>150</v>
      </c>
      <c r="D104" s="12" t="s">
        <v>3719</v>
      </c>
      <c r="E104" s="12" t="s">
        <v>3720</v>
      </c>
      <c r="F104" s="12" t="s">
        <v>537</v>
      </c>
      <c r="G104" s="12" t="s">
        <v>46</v>
      </c>
      <c r="H104" s="12" t="s">
        <v>19</v>
      </c>
    </row>
    <row r="105" customFormat="false" ht="15" hidden="false" customHeight="false" outlineLevel="0" collapsed="false">
      <c r="A105" s="12" t="s">
        <v>3721</v>
      </c>
      <c r="B105" s="12" t="s">
        <v>550</v>
      </c>
      <c r="C105" s="12" t="s">
        <v>150</v>
      </c>
      <c r="D105" s="12" t="s">
        <v>3722</v>
      </c>
      <c r="E105" s="12" t="s">
        <v>3722</v>
      </c>
      <c r="F105" s="12" t="s">
        <v>344</v>
      </c>
      <c r="G105" s="12" t="s">
        <v>42</v>
      </c>
      <c r="H105" s="12" t="s">
        <v>19</v>
      </c>
    </row>
    <row r="106" customFormat="false" ht="15" hidden="false" customHeight="false" outlineLevel="0" collapsed="false">
      <c r="A106" s="12" t="s">
        <v>3723</v>
      </c>
      <c r="B106" s="12" t="s">
        <v>565</v>
      </c>
      <c r="C106" s="12" t="s">
        <v>150</v>
      </c>
      <c r="D106" s="12" t="s">
        <v>3724</v>
      </c>
      <c r="E106" s="12" t="s">
        <v>3720</v>
      </c>
      <c r="F106" s="12" t="s">
        <v>566</v>
      </c>
      <c r="G106" s="12" t="s">
        <v>46</v>
      </c>
      <c r="H106" s="12" t="s">
        <v>19</v>
      </c>
    </row>
    <row r="107" customFormat="false" ht="15" hidden="false" customHeight="false" outlineLevel="0" collapsed="false">
      <c r="A107" s="12" t="s">
        <v>3725</v>
      </c>
      <c r="B107" s="12" t="s">
        <v>573</v>
      </c>
      <c r="C107" s="12" t="s">
        <v>150</v>
      </c>
      <c r="D107" s="12" t="s">
        <v>3726</v>
      </c>
      <c r="E107" s="12" t="s">
        <v>3726</v>
      </c>
      <c r="F107" s="12" t="s">
        <v>574</v>
      </c>
      <c r="G107" s="12" t="s">
        <v>47</v>
      </c>
      <c r="H107" s="12" t="s">
        <v>19</v>
      </c>
    </row>
    <row r="108" customFormat="false" ht="15" hidden="false" customHeight="false" outlineLevel="0" collapsed="false">
      <c r="A108" s="12" t="s">
        <v>3727</v>
      </c>
      <c r="B108" s="12" t="s">
        <v>582</v>
      </c>
      <c r="C108" s="12" t="s">
        <v>150</v>
      </c>
      <c r="D108" s="12" t="s">
        <v>3728</v>
      </c>
      <c r="E108" s="12" t="s">
        <v>3720</v>
      </c>
      <c r="F108" s="12" t="s">
        <v>583</v>
      </c>
      <c r="G108" s="12" t="s">
        <v>46</v>
      </c>
      <c r="H108" s="12" t="s">
        <v>19</v>
      </c>
    </row>
    <row r="109" customFormat="false" ht="15" hidden="false" customHeight="false" outlineLevel="0" collapsed="false">
      <c r="A109" s="12" t="s">
        <v>3729</v>
      </c>
      <c r="B109" s="12" t="s">
        <v>594</v>
      </c>
      <c r="C109" s="12" t="s">
        <v>150</v>
      </c>
      <c r="D109" s="12" t="s">
        <v>3728</v>
      </c>
      <c r="E109" s="12" t="s">
        <v>3720</v>
      </c>
      <c r="F109" s="12" t="s">
        <v>583</v>
      </c>
      <c r="G109" s="12" t="s">
        <v>46</v>
      </c>
      <c r="H109" s="12" t="s">
        <v>19</v>
      </c>
    </row>
    <row r="110" customFormat="false" ht="15" hidden="false" customHeight="false" outlineLevel="0" collapsed="false">
      <c r="A110" s="12" t="s">
        <v>3730</v>
      </c>
      <c r="B110" s="12" t="s">
        <v>602</v>
      </c>
      <c r="C110" s="12" t="s">
        <v>150</v>
      </c>
      <c r="D110" s="12" t="s">
        <v>3731</v>
      </c>
      <c r="E110" s="12" t="s">
        <v>3722</v>
      </c>
      <c r="F110" s="12" t="s">
        <v>603</v>
      </c>
      <c r="G110" s="12" t="s">
        <v>42</v>
      </c>
      <c r="H110" s="12" t="s">
        <v>19</v>
      </c>
    </row>
    <row r="111" customFormat="false" ht="15" hidden="false" customHeight="false" outlineLevel="0" collapsed="false">
      <c r="A111" s="12" t="s">
        <v>3732</v>
      </c>
      <c r="B111" s="12" t="s">
        <v>608</v>
      </c>
      <c r="C111" s="12" t="s">
        <v>150</v>
      </c>
      <c r="D111" s="12" t="s">
        <v>3733</v>
      </c>
      <c r="E111" s="12" t="s">
        <v>3717</v>
      </c>
      <c r="F111" s="12" t="s">
        <v>609</v>
      </c>
      <c r="G111" s="12" t="s">
        <v>42</v>
      </c>
      <c r="H111" s="12" t="s">
        <v>19</v>
      </c>
    </row>
  </sheetData>
  <autoFilter ref="A1:H1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50"/>
    <col collapsed="false" customWidth="true" hidden="false" outlineLevel="0" max="4" min="4" style="0" width="70"/>
    <col collapsed="false" customWidth="true" hidden="false" outlineLevel="0" max="5" min="5" style="0" width="34"/>
  </cols>
  <sheetData>
    <row r="1" customFormat="false" ht="15" hidden="false" customHeight="false" outlineLevel="0" collapsed="false">
      <c r="A1" s="11" t="s">
        <v>3734</v>
      </c>
      <c r="B1" s="11" t="s">
        <v>3735</v>
      </c>
      <c r="C1" s="11" t="s">
        <v>3736</v>
      </c>
      <c r="D1" s="11" t="s">
        <v>3737</v>
      </c>
      <c r="E1" s="11" t="s">
        <v>3738</v>
      </c>
    </row>
    <row r="2" customFormat="false" ht="23.85" hidden="false" customHeight="false" outlineLevel="0" collapsed="false">
      <c r="A2" s="12" t="s">
        <v>113</v>
      </c>
      <c r="B2" s="12" t="s">
        <v>26</v>
      </c>
      <c r="C2" s="12" t="s">
        <v>26</v>
      </c>
      <c r="D2" s="13" t="s">
        <v>3739</v>
      </c>
      <c r="E2" s="12" t="s">
        <v>162</v>
      </c>
    </row>
    <row r="3" customFormat="false" ht="15" hidden="false" customHeight="false" outlineLevel="0" collapsed="false">
      <c r="A3" s="12" t="s">
        <v>113</v>
      </c>
      <c r="B3" s="12" t="s">
        <v>27</v>
      </c>
      <c r="C3" s="12" t="s">
        <v>27</v>
      </c>
      <c r="D3" s="13" t="s">
        <v>3740</v>
      </c>
      <c r="E3" s="12" t="s">
        <v>205</v>
      </c>
    </row>
    <row r="4" customFormat="false" ht="15" hidden="false" customHeight="false" outlineLevel="0" collapsed="false">
      <c r="A4" s="12" t="s">
        <v>113</v>
      </c>
      <c r="B4" s="12" t="s">
        <v>28</v>
      </c>
      <c r="C4" s="12" t="s">
        <v>28</v>
      </c>
      <c r="D4" s="13" t="s">
        <v>3741</v>
      </c>
      <c r="E4" s="12" t="s">
        <v>262</v>
      </c>
    </row>
    <row r="5" customFormat="false" ht="15" hidden="false" customHeight="false" outlineLevel="0" collapsed="false">
      <c r="A5" s="12" t="s">
        <v>113</v>
      </c>
      <c r="B5" s="12" t="s">
        <v>29</v>
      </c>
      <c r="C5" s="12" t="s">
        <v>29</v>
      </c>
      <c r="D5" s="13" t="s">
        <v>3742</v>
      </c>
      <c r="E5" s="12" t="s">
        <v>29</v>
      </c>
    </row>
    <row r="6" customFormat="false" ht="15" hidden="false" customHeight="false" outlineLevel="0" collapsed="false">
      <c r="A6" s="12" t="s">
        <v>113</v>
      </c>
      <c r="B6" s="12" t="s">
        <v>30</v>
      </c>
      <c r="C6" s="12" t="s">
        <v>30</v>
      </c>
      <c r="D6" s="13" t="s">
        <v>3743</v>
      </c>
      <c r="E6" s="12" t="s">
        <v>380</v>
      </c>
    </row>
    <row r="7" customFormat="false" ht="15" hidden="false" customHeight="false" outlineLevel="0" collapsed="false">
      <c r="A7" s="12" t="s">
        <v>113</v>
      </c>
      <c r="B7" s="12" t="s">
        <v>31</v>
      </c>
      <c r="C7" s="12" t="s">
        <v>31</v>
      </c>
      <c r="D7" s="13" t="s">
        <v>3744</v>
      </c>
      <c r="E7" s="12" t="s">
        <v>31</v>
      </c>
    </row>
    <row r="8" customFormat="false" ht="15" hidden="false" customHeight="false" outlineLevel="0" collapsed="false">
      <c r="A8" s="12" t="s">
        <v>1370</v>
      </c>
      <c r="B8" s="12" t="s">
        <v>1378</v>
      </c>
      <c r="C8" s="12" t="s">
        <v>3745</v>
      </c>
      <c r="D8" s="13" t="s">
        <v>3746</v>
      </c>
      <c r="E8" s="12"/>
    </row>
    <row r="9" customFormat="false" ht="15" hidden="false" customHeight="false" outlineLevel="0" collapsed="false">
      <c r="A9" s="12" t="s">
        <v>1370</v>
      </c>
      <c r="B9" s="12" t="s">
        <v>1461</v>
      </c>
      <c r="C9" s="12" t="s">
        <v>3747</v>
      </c>
      <c r="D9" s="13" t="s">
        <v>3748</v>
      </c>
      <c r="E9" s="12"/>
    </row>
    <row r="10" customFormat="false" ht="15" hidden="false" customHeight="false" outlineLevel="0" collapsed="false">
      <c r="A10" s="12" t="s">
        <v>1370</v>
      </c>
      <c r="B10" s="12" t="s">
        <v>1501</v>
      </c>
      <c r="C10" s="12" t="s">
        <v>29</v>
      </c>
      <c r="D10" s="13" t="s">
        <v>3749</v>
      </c>
      <c r="E10" s="12"/>
    </row>
    <row r="11" customFormat="false" ht="23.85" hidden="false" customHeight="false" outlineLevel="0" collapsed="false">
      <c r="A11" s="12" t="s">
        <v>1370</v>
      </c>
      <c r="B11" s="12" t="s">
        <v>1384</v>
      </c>
      <c r="C11" s="12" t="s">
        <v>162</v>
      </c>
      <c r="D11" s="13" t="s">
        <v>3750</v>
      </c>
      <c r="E11" s="12"/>
    </row>
    <row r="12" customFormat="false" ht="15" hidden="false" customHeight="false" outlineLevel="0" collapsed="false">
      <c r="A12" s="12" t="s">
        <v>1370</v>
      </c>
      <c r="B12" s="12" t="s">
        <v>1413</v>
      </c>
      <c r="C12" s="12" t="s">
        <v>3751</v>
      </c>
      <c r="D12" s="13" t="s">
        <v>3752</v>
      </c>
      <c r="E12" s="12"/>
    </row>
    <row r="13" customFormat="false" ht="15" hidden="false" customHeight="false" outlineLevel="0" collapsed="false">
      <c r="A13" s="12" t="s">
        <v>1370</v>
      </c>
      <c r="B13" s="12" t="s">
        <v>3753</v>
      </c>
      <c r="C13" s="12" t="s">
        <v>31</v>
      </c>
      <c r="D13" s="13" t="s">
        <v>3754</v>
      </c>
      <c r="E13" s="12"/>
    </row>
    <row r="14" customFormat="false" ht="15" hidden="false" customHeight="false" outlineLevel="0" collapsed="false">
      <c r="A14" s="12" t="s">
        <v>1370</v>
      </c>
      <c r="B14" s="12" t="s">
        <v>1389</v>
      </c>
      <c r="C14" s="12" t="s">
        <v>3755</v>
      </c>
      <c r="D14" s="13" t="s">
        <v>3756</v>
      </c>
      <c r="E14" s="12"/>
    </row>
    <row r="15" customFormat="false" ht="23.85" hidden="false" customHeight="false" outlineLevel="0" collapsed="false">
      <c r="A15" s="12" t="s">
        <v>2198</v>
      </c>
      <c r="B15" s="12" t="s">
        <v>362</v>
      </c>
      <c r="C15" s="12" t="s">
        <v>3757</v>
      </c>
      <c r="D15" s="13" t="s">
        <v>3758</v>
      </c>
      <c r="E15" s="12" t="s">
        <v>3759</v>
      </c>
    </row>
    <row r="16" customFormat="false" ht="23.85" hidden="false" customHeight="false" outlineLevel="0" collapsed="false">
      <c r="A16" s="12" t="s">
        <v>2198</v>
      </c>
      <c r="B16" s="12" t="s">
        <v>2216</v>
      </c>
      <c r="C16" s="12" t="s">
        <v>3760</v>
      </c>
      <c r="D16" s="13" t="s">
        <v>3761</v>
      </c>
      <c r="E16" s="12" t="s">
        <v>3762</v>
      </c>
    </row>
    <row r="17" customFormat="false" ht="23.85" hidden="false" customHeight="false" outlineLevel="0" collapsed="false">
      <c r="A17" s="12" t="s">
        <v>2198</v>
      </c>
      <c r="B17" s="12" t="s">
        <v>759</v>
      </c>
      <c r="C17" s="12" t="s">
        <v>3763</v>
      </c>
      <c r="D17" s="13" t="s">
        <v>3764</v>
      </c>
      <c r="E17" s="12" t="s">
        <v>3765</v>
      </c>
    </row>
    <row r="18" customFormat="false" ht="23.85" hidden="false" customHeight="false" outlineLevel="0" collapsed="false">
      <c r="A18" s="12" t="s">
        <v>2198</v>
      </c>
      <c r="B18" s="12" t="s">
        <v>663</v>
      </c>
      <c r="C18" s="12" t="s">
        <v>3766</v>
      </c>
      <c r="D18" s="13" t="s">
        <v>3758</v>
      </c>
      <c r="E18" s="12" t="s">
        <v>3759</v>
      </c>
    </row>
    <row r="19" customFormat="false" ht="23.85" hidden="false" customHeight="false" outlineLevel="0" collapsed="false">
      <c r="A19" s="12" t="s">
        <v>2198</v>
      </c>
      <c r="B19" s="12" t="s">
        <v>2212</v>
      </c>
      <c r="C19" s="12" t="s">
        <v>3767</v>
      </c>
      <c r="D19" s="13" t="s">
        <v>3768</v>
      </c>
      <c r="E19" s="12" t="s">
        <v>3769</v>
      </c>
    </row>
    <row r="20" customFormat="false" ht="23.85" hidden="false" customHeight="false" outlineLevel="0" collapsed="false">
      <c r="A20" s="12" t="s">
        <v>2198</v>
      </c>
      <c r="B20" s="12" t="s">
        <v>2200</v>
      </c>
      <c r="C20" s="12" t="s">
        <v>3770</v>
      </c>
      <c r="D20" s="13" t="s">
        <v>3771</v>
      </c>
      <c r="E20" s="12" t="s">
        <v>3772</v>
      </c>
    </row>
    <row r="21" customFormat="false" ht="23.85" hidden="false" customHeight="false" outlineLevel="0" collapsed="false">
      <c r="A21" s="12" t="s">
        <v>2198</v>
      </c>
      <c r="B21" s="12" t="s">
        <v>2204</v>
      </c>
      <c r="C21" s="12" t="s">
        <v>3773</v>
      </c>
      <c r="D21" s="13" t="s">
        <v>3774</v>
      </c>
      <c r="E21" s="12" t="s">
        <v>3775</v>
      </c>
    </row>
    <row r="22" customFormat="false" ht="23.85" hidden="false" customHeight="false" outlineLevel="0" collapsed="false">
      <c r="A22" s="12" t="s">
        <v>2198</v>
      </c>
      <c r="B22" s="12" t="s">
        <v>2272</v>
      </c>
      <c r="C22" s="12" t="s">
        <v>3776</v>
      </c>
      <c r="D22" s="13" t="s">
        <v>3777</v>
      </c>
      <c r="E22" s="12" t="s">
        <v>3778</v>
      </c>
    </row>
    <row r="23" customFormat="false" ht="23.85" hidden="false" customHeight="false" outlineLevel="0" collapsed="false">
      <c r="A23" s="12" t="s">
        <v>2198</v>
      </c>
      <c r="B23" s="12" t="s">
        <v>1245</v>
      </c>
      <c r="C23" s="12" t="s">
        <v>3779</v>
      </c>
      <c r="D23" s="13" t="s">
        <v>3780</v>
      </c>
      <c r="E23" s="12" t="s">
        <v>3781</v>
      </c>
    </row>
    <row r="24" customFormat="false" ht="23.85" hidden="false" customHeight="false" outlineLevel="0" collapsed="false">
      <c r="A24" s="12" t="s">
        <v>2198</v>
      </c>
      <c r="B24" s="12" t="s">
        <v>402</v>
      </c>
      <c r="C24" s="12" t="s">
        <v>3782</v>
      </c>
      <c r="D24" s="13" t="s">
        <v>3783</v>
      </c>
      <c r="E24" s="12" t="s">
        <v>3784</v>
      </c>
    </row>
    <row r="25" customFormat="false" ht="23.85" hidden="false" customHeight="false" outlineLevel="0" collapsed="false">
      <c r="A25" s="12" t="s">
        <v>2198</v>
      </c>
      <c r="B25" s="12" t="s">
        <v>3785</v>
      </c>
      <c r="C25" s="12" t="s">
        <v>3786</v>
      </c>
      <c r="D25" s="13" t="s">
        <v>3787</v>
      </c>
      <c r="E25" s="12" t="s">
        <v>3788</v>
      </c>
    </row>
    <row r="26" customFormat="false" ht="23.85" hidden="false" customHeight="false" outlineLevel="0" collapsed="false">
      <c r="A26" s="12" t="s">
        <v>2198</v>
      </c>
      <c r="B26" s="12" t="s">
        <v>3789</v>
      </c>
      <c r="C26" s="12" t="s">
        <v>3790</v>
      </c>
      <c r="D26" s="13" t="s">
        <v>3791</v>
      </c>
      <c r="E26" s="12" t="s">
        <v>3792</v>
      </c>
    </row>
    <row r="27" customFormat="false" ht="15" hidden="false" customHeight="false" outlineLevel="0" collapsed="false">
      <c r="A27" s="12" t="s">
        <v>3793</v>
      </c>
      <c r="B27" s="12" t="s">
        <v>149</v>
      </c>
      <c r="C27" s="12" t="s">
        <v>149</v>
      </c>
      <c r="D27" s="13" t="s">
        <v>3794</v>
      </c>
      <c r="E27" s="12"/>
    </row>
    <row r="28" customFormat="false" ht="15" hidden="false" customHeight="false" outlineLevel="0" collapsed="false">
      <c r="A28" s="12" t="s">
        <v>3793</v>
      </c>
      <c r="B28" s="12" t="s">
        <v>617</v>
      </c>
      <c r="C28" s="12" t="s">
        <v>617</v>
      </c>
      <c r="D28" s="13" t="s">
        <v>3795</v>
      </c>
      <c r="E28" s="12"/>
    </row>
    <row r="29" customFormat="false" ht="23.85" hidden="false" customHeight="false" outlineLevel="0" collapsed="false">
      <c r="A29" s="12" t="s">
        <v>3793</v>
      </c>
      <c r="B29" s="12" t="s">
        <v>392</v>
      </c>
      <c r="C29" s="12" t="s">
        <v>392</v>
      </c>
      <c r="D29" s="13" t="s">
        <v>3796</v>
      </c>
      <c r="E29" s="12"/>
    </row>
    <row r="30" customFormat="false" ht="15" hidden="false" customHeight="false" outlineLevel="0" collapsed="false">
      <c r="A30" s="12" t="s">
        <v>100</v>
      </c>
      <c r="B30" s="12" t="s">
        <v>234</v>
      </c>
      <c r="C30" s="12" t="s">
        <v>234</v>
      </c>
      <c r="D30" s="13" t="s">
        <v>3797</v>
      </c>
      <c r="E30" s="12" t="s">
        <v>3798</v>
      </c>
    </row>
    <row r="31" customFormat="false" ht="15" hidden="false" customHeight="false" outlineLevel="0" collapsed="false">
      <c r="A31" s="12" t="s">
        <v>100</v>
      </c>
      <c r="B31" s="12" t="s">
        <v>152</v>
      </c>
      <c r="C31" s="12" t="s">
        <v>152</v>
      </c>
      <c r="D31" s="13" t="s">
        <v>3797</v>
      </c>
      <c r="E31" s="12" t="s">
        <v>3798</v>
      </c>
    </row>
    <row r="32" customFormat="false" ht="15" hidden="false" customHeight="false" outlineLevel="0" collapsed="false">
      <c r="A32" s="12" t="s">
        <v>100</v>
      </c>
      <c r="B32" s="12" t="s">
        <v>226</v>
      </c>
      <c r="C32" s="12" t="s">
        <v>226</v>
      </c>
      <c r="D32" s="13" t="s">
        <v>3797</v>
      </c>
      <c r="E32" s="12" t="s">
        <v>3798</v>
      </c>
    </row>
    <row r="33" customFormat="false" ht="15" hidden="false" customHeight="false" outlineLevel="0" collapsed="false">
      <c r="A33" s="12" t="s">
        <v>100</v>
      </c>
      <c r="B33" s="12" t="s">
        <v>304</v>
      </c>
      <c r="C33" s="12" t="s">
        <v>304</v>
      </c>
      <c r="D33" s="13" t="s">
        <v>3797</v>
      </c>
      <c r="E33" s="12" t="s">
        <v>3798</v>
      </c>
    </row>
    <row r="34" customFormat="false" ht="15" hidden="false" customHeight="false" outlineLevel="0" collapsed="false">
      <c r="A34" s="12" t="s">
        <v>100</v>
      </c>
      <c r="B34" s="12" t="s">
        <v>471</v>
      </c>
      <c r="C34" s="12" t="s">
        <v>471</v>
      </c>
      <c r="D34" s="13" t="s">
        <v>3797</v>
      </c>
      <c r="E34" s="12" t="s">
        <v>3798</v>
      </c>
    </row>
    <row r="35" customFormat="false" ht="15" hidden="false" customHeight="false" outlineLevel="0" collapsed="false">
      <c r="A35" s="12" t="s">
        <v>100</v>
      </c>
      <c r="B35" s="12" t="s">
        <v>244</v>
      </c>
      <c r="C35" s="12" t="s">
        <v>244</v>
      </c>
      <c r="D35" s="13" t="s">
        <v>3797</v>
      </c>
      <c r="E35" s="12" t="s">
        <v>3799</v>
      </c>
    </row>
    <row r="36" customFormat="false" ht="15" hidden="false" customHeight="false" outlineLevel="0" collapsed="false">
      <c r="A36" s="12" t="s">
        <v>100</v>
      </c>
      <c r="B36" s="12" t="s">
        <v>393</v>
      </c>
      <c r="C36" s="12" t="s">
        <v>393</v>
      </c>
      <c r="D36" s="13" t="s">
        <v>3797</v>
      </c>
      <c r="E36" s="12" t="s">
        <v>3800</v>
      </c>
    </row>
    <row r="37" customFormat="false" ht="15" hidden="false" customHeight="false" outlineLevel="0" collapsed="false">
      <c r="A37" s="12" t="s">
        <v>100</v>
      </c>
      <c r="B37" s="12" t="s">
        <v>316</v>
      </c>
      <c r="C37" s="12" t="s">
        <v>316</v>
      </c>
      <c r="D37" s="13" t="s">
        <v>3797</v>
      </c>
      <c r="E37" s="12" t="s">
        <v>3800</v>
      </c>
    </row>
    <row r="38" customFormat="false" ht="15" hidden="false" customHeight="false" outlineLevel="0" collapsed="false">
      <c r="A38" s="12" t="s">
        <v>100</v>
      </c>
      <c r="B38" s="12" t="s">
        <v>188</v>
      </c>
      <c r="C38" s="12" t="s">
        <v>188</v>
      </c>
      <c r="D38" s="13" t="s">
        <v>3797</v>
      </c>
      <c r="E38" s="12" t="s">
        <v>3800</v>
      </c>
    </row>
    <row r="39" customFormat="false" ht="15" hidden="false" customHeight="false" outlineLevel="0" collapsed="false">
      <c r="A39" s="12" t="s">
        <v>100</v>
      </c>
      <c r="B39" s="12" t="s">
        <v>345</v>
      </c>
      <c r="C39" s="12" t="s">
        <v>345</v>
      </c>
      <c r="D39" s="13" t="s">
        <v>3797</v>
      </c>
      <c r="E39" s="12" t="s">
        <v>3800</v>
      </c>
    </row>
    <row r="40" customFormat="false" ht="15" hidden="false" customHeight="false" outlineLevel="0" collapsed="false">
      <c r="A40" s="12" t="s">
        <v>100</v>
      </c>
      <c r="B40" s="12" t="s">
        <v>1197</v>
      </c>
      <c r="C40" s="12" t="s">
        <v>1197</v>
      </c>
      <c r="D40" s="13" t="s">
        <v>3797</v>
      </c>
      <c r="E40" s="12" t="s">
        <v>3800</v>
      </c>
    </row>
    <row r="41" customFormat="false" ht="15" hidden="false" customHeight="false" outlineLevel="0" collapsed="false">
      <c r="A41" s="12" t="s">
        <v>100</v>
      </c>
      <c r="B41" s="12" t="s">
        <v>368</v>
      </c>
      <c r="C41" s="12" t="s">
        <v>368</v>
      </c>
      <c r="D41" s="13" t="s">
        <v>3797</v>
      </c>
      <c r="E41" s="12" t="s">
        <v>3801</v>
      </c>
    </row>
    <row r="42" customFormat="false" ht="15" hidden="false" customHeight="false" outlineLevel="0" collapsed="false">
      <c r="A42" s="12" t="s">
        <v>100</v>
      </c>
      <c r="B42" s="12" t="s">
        <v>276</v>
      </c>
      <c r="C42" s="12" t="s">
        <v>276</v>
      </c>
      <c r="D42" s="13" t="s">
        <v>3797</v>
      </c>
      <c r="E42" s="12" t="s">
        <v>3802</v>
      </c>
    </row>
    <row r="43" customFormat="false" ht="15" hidden="false" customHeight="false" outlineLevel="0" collapsed="false">
      <c r="A43" s="12" t="s">
        <v>100</v>
      </c>
      <c r="B43" s="12" t="s">
        <v>285</v>
      </c>
      <c r="C43" s="12" t="s">
        <v>285</v>
      </c>
      <c r="D43" s="13" t="s">
        <v>3797</v>
      </c>
      <c r="E43" s="12" t="s">
        <v>3803</v>
      </c>
    </row>
    <row r="44" customFormat="false" ht="23.85" hidden="false" customHeight="false" outlineLevel="0" collapsed="false">
      <c r="A44" s="12" t="s">
        <v>101</v>
      </c>
      <c r="B44" s="12" t="n">
        <v>1</v>
      </c>
      <c r="C44" s="12" t="s">
        <v>153</v>
      </c>
      <c r="D44" s="13" t="s">
        <v>3804</v>
      </c>
      <c r="E44" s="12"/>
    </row>
    <row r="45" customFormat="false" ht="23.85" hidden="false" customHeight="false" outlineLevel="0" collapsed="false">
      <c r="A45" s="12" t="s">
        <v>101</v>
      </c>
      <c r="B45" s="12" t="n">
        <v>3</v>
      </c>
      <c r="C45" s="12" t="s">
        <v>245</v>
      </c>
      <c r="D45" s="13" t="s">
        <v>3804</v>
      </c>
      <c r="E45" s="12"/>
    </row>
    <row r="46" customFormat="false" ht="23.85" hidden="false" customHeight="false" outlineLevel="0" collapsed="false">
      <c r="A46" s="12" t="s">
        <v>101</v>
      </c>
      <c r="B46" s="12" t="n">
        <v>4</v>
      </c>
      <c r="C46" s="12" t="s">
        <v>189</v>
      </c>
      <c r="D46" s="13" t="s">
        <v>3804</v>
      </c>
      <c r="E46" s="12"/>
    </row>
    <row r="47" customFormat="false" ht="23.85" hidden="false" customHeight="false" outlineLevel="0" collapsed="false">
      <c r="A47" s="12" t="s">
        <v>101</v>
      </c>
      <c r="B47" s="12" t="n">
        <v>7</v>
      </c>
      <c r="C47" s="12" t="s">
        <v>369</v>
      </c>
      <c r="D47" s="13" t="s">
        <v>3804</v>
      </c>
      <c r="E47" s="12"/>
    </row>
    <row r="48" customFormat="false" ht="23.85" hidden="false" customHeight="false" outlineLevel="0" collapsed="false">
      <c r="A48" s="12" t="s">
        <v>101</v>
      </c>
      <c r="B48" s="12" t="n">
        <v>9</v>
      </c>
      <c r="C48" s="12" t="s">
        <v>277</v>
      </c>
      <c r="D48" s="13" t="s">
        <v>3804</v>
      </c>
      <c r="E48" s="12"/>
    </row>
    <row r="49" customFormat="false" ht="23.85" hidden="false" customHeight="false" outlineLevel="0" collapsed="false">
      <c r="A49" s="12" t="s">
        <v>101</v>
      </c>
      <c r="B49" s="12" t="n">
        <v>10</v>
      </c>
      <c r="C49" s="12" t="s">
        <v>286</v>
      </c>
      <c r="D49" s="13" t="s">
        <v>3804</v>
      </c>
      <c r="E49" s="12"/>
    </row>
    <row r="50" customFormat="false" ht="15" hidden="false" customHeight="false" outlineLevel="0" collapsed="false">
      <c r="A50" s="12" t="s">
        <v>109</v>
      </c>
      <c r="B50" s="12" t="s">
        <v>159</v>
      </c>
      <c r="C50" s="12" t="s">
        <v>159</v>
      </c>
      <c r="D50" s="13"/>
      <c r="E50" s="12"/>
    </row>
    <row r="51" customFormat="false" ht="15" hidden="false" customHeight="false" outlineLevel="0" collapsed="false">
      <c r="A51" s="12" t="s">
        <v>109</v>
      </c>
      <c r="B51" s="12" t="s">
        <v>555</v>
      </c>
      <c r="C51" s="12" t="s">
        <v>555</v>
      </c>
      <c r="D51" s="13"/>
      <c r="E51" s="12"/>
    </row>
    <row r="52" customFormat="false" ht="15" hidden="false" customHeight="false" outlineLevel="0" collapsed="false">
      <c r="A52" s="12" t="s">
        <v>109</v>
      </c>
      <c r="B52" s="12" t="s">
        <v>700</v>
      </c>
      <c r="C52" s="12" t="s">
        <v>700</v>
      </c>
      <c r="D52" s="13"/>
      <c r="E52" s="12"/>
    </row>
    <row r="53" customFormat="false" ht="15" hidden="false" customHeight="false" outlineLevel="0" collapsed="false">
      <c r="A53" s="12" t="s">
        <v>109</v>
      </c>
      <c r="B53" s="12" t="s">
        <v>291</v>
      </c>
      <c r="C53" s="12" t="s">
        <v>291</v>
      </c>
      <c r="D53" s="13"/>
      <c r="E53" s="12"/>
    </row>
    <row r="54" customFormat="false" ht="15" hidden="false" customHeight="false" outlineLevel="0" collapsed="false">
      <c r="A54" s="12" t="s">
        <v>109</v>
      </c>
      <c r="B54" s="12" t="s">
        <v>60</v>
      </c>
      <c r="C54" s="12" t="s">
        <v>60</v>
      </c>
      <c r="D54" s="13"/>
      <c r="E54" s="12"/>
    </row>
    <row r="55" customFormat="false" ht="23.85" hidden="false" customHeight="false" outlineLevel="0" collapsed="false">
      <c r="A55" s="12" t="s">
        <v>128</v>
      </c>
      <c r="B55" s="12" t="s">
        <v>169</v>
      </c>
      <c r="C55" s="12" t="s">
        <v>169</v>
      </c>
      <c r="D55" s="13" t="s">
        <v>3805</v>
      </c>
      <c r="E55" s="12"/>
    </row>
    <row r="56" customFormat="false" ht="23.85" hidden="false" customHeight="false" outlineLevel="0" collapsed="false">
      <c r="A56" s="12" t="s">
        <v>128</v>
      </c>
      <c r="B56" s="12" t="s">
        <v>230</v>
      </c>
      <c r="C56" s="12" t="s">
        <v>230</v>
      </c>
      <c r="D56" s="13" t="s">
        <v>3805</v>
      </c>
      <c r="E56" s="12"/>
    </row>
    <row r="57" customFormat="false" ht="23.85" hidden="false" customHeight="false" outlineLevel="0" collapsed="false">
      <c r="A57" s="12" t="s">
        <v>128</v>
      </c>
      <c r="B57" s="12" t="s">
        <v>197</v>
      </c>
      <c r="C57" s="12" t="s">
        <v>197</v>
      </c>
      <c r="D57" s="13" t="s">
        <v>3805</v>
      </c>
      <c r="E57" s="12"/>
    </row>
    <row r="58" customFormat="false" ht="23.85" hidden="false" customHeight="false" outlineLevel="0" collapsed="false">
      <c r="A58" s="12" t="s">
        <v>128</v>
      </c>
      <c r="B58" s="12" t="s">
        <v>183</v>
      </c>
      <c r="C58" s="12" t="s">
        <v>183</v>
      </c>
      <c r="D58" s="13" t="s">
        <v>3805</v>
      </c>
      <c r="E58" s="12"/>
    </row>
    <row r="59" customFormat="false" ht="15" hidden="false" customHeight="false" outlineLevel="0" collapsed="false">
      <c r="A59" s="12" t="s">
        <v>105</v>
      </c>
      <c r="B59" s="12" t="s">
        <v>191</v>
      </c>
      <c r="C59" s="12" t="s">
        <v>3806</v>
      </c>
      <c r="D59" s="13"/>
      <c r="E59" s="12"/>
    </row>
    <row r="60" customFormat="false" ht="15" hidden="false" customHeight="false" outlineLevel="0" collapsed="false">
      <c r="A60" s="12" t="s">
        <v>105</v>
      </c>
      <c r="B60" s="12" t="s">
        <v>179</v>
      </c>
      <c r="C60" s="12" t="s">
        <v>3807</v>
      </c>
      <c r="D60" s="13"/>
      <c r="E60" s="12"/>
    </row>
    <row r="61" customFormat="false" ht="15" hidden="false" customHeight="false" outlineLevel="0" collapsed="false">
      <c r="A61" s="12" t="s">
        <v>105</v>
      </c>
      <c r="B61" s="12" t="s">
        <v>155</v>
      </c>
      <c r="C61" s="12" t="s">
        <v>3808</v>
      </c>
      <c r="D61" s="13"/>
      <c r="E61" s="12"/>
    </row>
    <row r="62" customFormat="false" ht="15" hidden="false" customHeight="false" outlineLevel="0" collapsed="false">
      <c r="A62" s="12" t="s">
        <v>103</v>
      </c>
      <c r="B62" s="12" t="s">
        <v>71</v>
      </c>
      <c r="C62" s="12" t="s">
        <v>71</v>
      </c>
      <c r="D62" s="13"/>
      <c r="E62" s="12"/>
    </row>
    <row r="63" customFormat="false" ht="15" hidden="false" customHeight="false" outlineLevel="0" collapsed="false">
      <c r="A63" s="12" t="s">
        <v>103</v>
      </c>
      <c r="B63" s="12" t="s">
        <v>72</v>
      </c>
      <c r="C63" s="12" t="s">
        <v>72</v>
      </c>
      <c r="D63" s="13"/>
      <c r="E63" s="12"/>
    </row>
    <row r="64" customFormat="false" ht="15" hidden="false" customHeight="false" outlineLevel="0" collapsed="false">
      <c r="A64" s="12" t="s">
        <v>103</v>
      </c>
      <c r="B64" s="12" t="s">
        <v>73</v>
      </c>
      <c r="C64" s="12" t="s">
        <v>73</v>
      </c>
      <c r="D64" s="13"/>
      <c r="E64" s="12"/>
    </row>
    <row r="65" customFormat="false" ht="15" hidden="false" customHeight="false" outlineLevel="0" collapsed="false">
      <c r="A65" s="12" t="s">
        <v>103</v>
      </c>
      <c r="B65" s="12" t="s">
        <v>74</v>
      </c>
      <c r="C65" s="12" t="s">
        <v>74</v>
      </c>
      <c r="D65" s="13"/>
      <c r="E65" s="12"/>
    </row>
    <row r="66" customFormat="false" ht="15" hidden="false" customHeight="false" outlineLevel="0" collapsed="false">
      <c r="A66" s="12" t="s">
        <v>103</v>
      </c>
      <c r="B66" s="12" t="s">
        <v>75</v>
      </c>
      <c r="C66" s="12" t="s">
        <v>75</v>
      </c>
      <c r="D66" s="13"/>
      <c r="E66" s="12"/>
    </row>
    <row r="67" customFormat="false" ht="15" hidden="false" customHeight="false" outlineLevel="0" collapsed="false">
      <c r="A67" s="12" t="s">
        <v>103</v>
      </c>
      <c r="B67" s="12" t="s">
        <v>76</v>
      </c>
      <c r="C67" s="12" t="s">
        <v>76</v>
      </c>
      <c r="D67" s="13"/>
      <c r="E67" s="12"/>
    </row>
    <row r="68" customFormat="false" ht="15" hidden="false" customHeight="false" outlineLevel="0" collapsed="false">
      <c r="A68" s="12" t="s">
        <v>103</v>
      </c>
      <c r="B68" s="12" t="s">
        <v>77</v>
      </c>
      <c r="C68" s="12" t="s">
        <v>77</v>
      </c>
      <c r="D68" s="13"/>
      <c r="E68" s="12"/>
    </row>
    <row r="69" customFormat="false" ht="15" hidden="false" customHeight="false" outlineLevel="0" collapsed="false">
      <c r="A69" s="12" t="s">
        <v>103</v>
      </c>
      <c r="B69" s="12" t="s">
        <v>78</v>
      </c>
      <c r="C69" s="12" t="s">
        <v>78</v>
      </c>
      <c r="D69" s="13"/>
      <c r="E69" s="12"/>
    </row>
    <row r="70" customFormat="false" ht="15" hidden="false" customHeight="false" outlineLevel="0" collapsed="false">
      <c r="A70" s="12" t="s">
        <v>103</v>
      </c>
      <c r="B70" s="12" t="s">
        <v>79</v>
      </c>
      <c r="C70" s="12" t="s">
        <v>79</v>
      </c>
      <c r="D70" s="13"/>
      <c r="E70" s="12"/>
    </row>
    <row r="71" customFormat="false" ht="15" hidden="false" customHeight="false" outlineLevel="0" collapsed="false">
      <c r="A71" s="12" t="s">
        <v>103</v>
      </c>
      <c r="B71" s="12" t="s">
        <v>80</v>
      </c>
      <c r="C71" s="12" t="s">
        <v>80</v>
      </c>
      <c r="D71" s="13"/>
      <c r="E71" s="12"/>
    </row>
    <row r="72" customFormat="false" ht="15" hidden="false" customHeight="false" outlineLevel="0" collapsed="false">
      <c r="A72" s="12" t="s">
        <v>103</v>
      </c>
      <c r="B72" s="12" t="s">
        <v>81</v>
      </c>
      <c r="C72" s="12" t="s">
        <v>81</v>
      </c>
      <c r="D72" s="13"/>
      <c r="E72" s="12"/>
    </row>
    <row r="73" customFormat="false" ht="15" hidden="false" customHeight="false" outlineLevel="0" collapsed="false">
      <c r="A73" s="12" t="s">
        <v>103</v>
      </c>
      <c r="B73" s="12" t="s">
        <v>82</v>
      </c>
      <c r="C73" s="12" t="s">
        <v>82</v>
      </c>
      <c r="D73" s="13"/>
      <c r="E73" s="12"/>
    </row>
    <row r="74" customFormat="false" ht="15" hidden="false" customHeight="false" outlineLevel="0" collapsed="false">
      <c r="A74" s="12" t="s">
        <v>103</v>
      </c>
      <c r="B74" s="12" t="s">
        <v>83</v>
      </c>
      <c r="C74" s="12" t="s">
        <v>83</v>
      </c>
      <c r="D74" s="13"/>
      <c r="E74" s="12"/>
    </row>
    <row r="75" customFormat="false" ht="15" hidden="false" customHeight="false" outlineLevel="0" collapsed="false">
      <c r="A75" s="12" t="s">
        <v>107</v>
      </c>
      <c r="B75" s="12" t="s">
        <v>742</v>
      </c>
      <c r="C75" s="12" t="s">
        <v>742</v>
      </c>
      <c r="D75" s="13" t="s">
        <v>3809</v>
      </c>
      <c r="E75" s="12" t="s">
        <v>554</v>
      </c>
    </row>
    <row r="76" customFormat="false" ht="15" hidden="false" customHeight="false" outlineLevel="0" collapsed="false">
      <c r="A76" s="12" t="s">
        <v>107</v>
      </c>
      <c r="B76" s="12" t="s">
        <v>1310</v>
      </c>
      <c r="C76" s="12" t="s">
        <v>1310</v>
      </c>
      <c r="D76" s="13" t="s">
        <v>3809</v>
      </c>
      <c r="E76" s="12" t="s">
        <v>1012</v>
      </c>
    </row>
    <row r="77" customFormat="false" ht="15" hidden="false" customHeight="false" outlineLevel="0" collapsed="false">
      <c r="A77" s="12" t="s">
        <v>107</v>
      </c>
      <c r="B77" s="12" t="s">
        <v>412</v>
      </c>
      <c r="C77" s="12" t="s">
        <v>412</v>
      </c>
      <c r="D77" s="13" t="s">
        <v>3809</v>
      </c>
      <c r="E77" s="12" t="s">
        <v>331</v>
      </c>
    </row>
    <row r="78" customFormat="false" ht="15" hidden="false" customHeight="false" outlineLevel="0" collapsed="false">
      <c r="A78" s="12" t="s">
        <v>107</v>
      </c>
      <c r="B78" s="12" t="s">
        <v>448</v>
      </c>
      <c r="C78" s="12" t="s">
        <v>448</v>
      </c>
      <c r="D78" s="13" t="s">
        <v>3809</v>
      </c>
      <c r="E78" s="12" t="s">
        <v>331</v>
      </c>
    </row>
    <row r="79" customFormat="false" ht="15" hidden="false" customHeight="false" outlineLevel="0" collapsed="false">
      <c r="A79" s="12" t="s">
        <v>107</v>
      </c>
      <c r="B79" s="12" t="s">
        <v>584</v>
      </c>
      <c r="C79" s="12" t="s">
        <v>584</v>
      </c>
      <c r="D79" s="13" t="s">
        <v>3809</v>
      </c>
      <c r="E79" s="12" t="s">
        <v>554</v>
      </c>
    </row>
    <row r="80" customFormat="false" ht="15" hidden="false" customHeight="false" outlineLevel="0" collapsed="false">
      <c r="A80" s="12" t="s">
        <v>107</v>
      </c>
      <c r="B80" s="12" t="s">
        <v>523</v>
      </c>
      <c r="C80" s="12" t="s">
        <v>523</v>
      </c>
      <c r="D80" s="13" t="s">
        <v>3809</v>
      </c>
      <c r="E80" s="12" t="s">
        <v>158</v>
      </c>
    </row>
    <row r="81" customFormat="false" ht="15" hidden="false" customHeight="false" outlineLevel="0" collapsed="false">
      <c r="A81" s="12" t="s">
        <v>107</v>
      </c>
      <c r="B81" s="12" t="s">
        <v>214</v>
      </c>
      <c r="C81" s="12" t="s">
        <v>214</v>
      </c>
      <c r="D81" s="13" t="s">
        <v>3809</v>
      </c>
      <c r="E81" s="12" t="s">
        <v>158</v>
      </c>
    </row>
    <row r="82" customFormat="false" ht="15" hidden="false" customHeight="false" outlineLevel="0" collapsed="false">
      <c r="A82" s="12" t="s">
        <v>107</v>
      </c>
      <c r="B82" s="12" t="s">
        <v>330</v>
      </c>
      <c r="C82" s="12" t="s">
        <v>330</v>
      </c>
      <c r="D82" s="13" t="s">
        <v>3809</v>
      </c>
      <c r="E82" s="12" t="s">
        <v>331</v>
      </c>
    </row>
    <row r="83" customFormat="false" ht="15" hidden="false" customHeight="false" outlineLevel="0" collapsed="false">
      <c r="A83" s="12" t="s">
        <v>107</v>
      </c>
      <c r="B83" s="12" t="s">
        <v>1011</v>
      </c>
      <c r="C83" s="12" t="s">
        <v>1011</v>
      </c>
      <c r="D83" s="13" t="s">
        <v>3809</v>
      </c>
      <c r="E83" s="12" t="s">
        <v>1012</v>
      </c>
    </row>
    <row r="84" customFormat="false" ht="15" hidden="false" customHeight="false" outlineLevel="0" collapsed="false">
      <c r="A84" s="12" t="s">
        <v>107</v>
      </c>
      <c r="B84" s="12" t="s">
        <v>157</v>
      </c>
      <c r="C84" s="12" t="s">
        <v>157</v>
      </c>
      <c r="D84" s="13" t="s">
        <v>3809</v>
      </c>
      <c r="E84" s="12" t="s">
        <v>158</v>
      </c>
    </row>
    <row r="85" customFormat="false" ht="15" hidden="false" customHeight="false" outlineLevel="0" collapsed="false">
      <c r="A85" s="12" t="s">
        <v>107</v>
      </c>
      <c r="B85" s="12" t="s">
        <v>60</v>
      </c>
      <c r="C85" s="12" t="s">
        <v>60</v>
      </c>
      <c r="D85" s="13" t="s">
        <v>3809</v>
      </c>
      <c r="E85" s="12" t="s">
        <v>60</v>
      </c>
    </row>
    <row r="86" customFormat="false" ht="15" hidden="false" customHeight="false" outlineLevel="0" collapsed="false">
      <c r="A86" s="12" t="s">
        <v>107</v>
      </c>
      <c r="B86" s="12" t="s">
        <v>370</v>
      </c>
      <c r="C86" s="12" t="s">
        <v>370</v>
      </c>
      <c r="D86" s="13" t="s">
        <v>3809</v>
      </c>
      <c r="E86" s="12" t="s">
        <v>331</v>
      </c>
    </row>
    <row r="87" customFormat="false" ht="15" hidden="false" customHeight="false" outlineLevel="0" collapsed="false">
      <c r="A87" s="12" t="s">
        <v>107</v>
      </c>
      <c r="B87" s="12" t="s">
        <v>553</v>
      </c>
      <c r="C87" s="12" t="s">
        <v>553</v>
      </c>
      <c r="D87" s="13" t="s">
        <v>3809</v>
      </c>
      <c r="E87" s="12" t="s">
        <v>554</v>
      </c>
    </row>
    <row r="88" customFormat="false" ht="15" hidden="false" customHeight="false" outlineLevel="0" collapsed="false">
      <c r="A88" s="12" t="s">
        <v>107</v>
      </c>
      <c r="B88" s="12" t="s">
        <v>1222</v>
      </c>
      <c r="C88" s="12" t="s">
        <v>1222</v>
      </c>
      <c r="D88" s="13" t="s">
        <v>3809</v>
      </c>
      <c r="E88" s="12" t="s">
        <v>554</v>
      </c>
    </row>
    <row r="89" customFormat="false" ht="15" hidden="false" customHeight="false" outlineLevel="0" collapsed="false">
      <c r="A89" s="12" t="s">
        <v>107</v>
      </c>
      <c r="B89" s="12" t="s">
        <v>1200</v>
      </c>
      <c r="C89" s="12" t="s">
        <v>1200</v>
      </c>
      <c r="D89" s="13" t="s">
        <v>3809</v>
      </c>
      <c r="E89" s="12" t="s">
        <v>331</v>
      </c>
    </row>
    <row r="90" customFormat="false" ht="15" hidden="false" customHeight="false" outlineLevel="0" collapsed="false">
      <c r="A90" s="12" t="s">
        <v>107</v>
      </c>
      <c r="B90" s="12" t="s">
        <v>289</v>
      </c>
      <c r="C90" s="12" t="s">
        <v>289</v>
      </c>
      <c r="D90" s="13" t="s">
        <v>3809</v>
      </c>
      <c r="E90" s="12" t="s">
        <v>290</v>
      </c>
    </row>
    <row r="91" customFormat="false" ht="15" hidden="false" customHeight="false" outlineLevel="0" collapsed="false">
      <c r="A91" s="12" t="s">
        <v>108</v>
      </c>
      <c r="B91" s="12" t="s">
        <v>290</v>
      </c>
      <c r="C91" s="12" t="s">
        <v>290</v>
      </c>
      <c r="D91" s="13" t="s">
        <v>3810</v>
      </c>
      <c r="E91" s="12"/>
    </row>
    <row r="92" customFormat="false" ht="15" hidden="false" customHeight="false" outlineLevel="0" collapsed="false">
      <c r="A92" s="12" t="s">
        <v>108</v>
      </c>
      <c r="B92" s="12" t="s">
        <v>554</v>
      </c>
      <c r="C92" s="12" t="s">
        <v>554</v>
      </c>
      <c r="D92" s="13" t="s">
        <v>3810</v>
      </c>
      <c r="E92" s="12"/>
    </row>
    <row r="93" customFormat="false" ht="15" hidden="false" customHeight="false" outlineLevel="0" collapsed="false">
      <c r="A93" s="12" t="s">
        <v>108</v>
      </c>
      <c r="B93" s="12" t="s">
        <v>158</v>
      </c>
      <c r="C93" s="12" t="s">
        <v>158</v>
      </c>
      <c r="D93" s="13" t="s">
        <v>3810</v>
      </c>
      <c r="E93" s="12"/>
    </row>
    <row r="94" customFormat="false" ht="15" hidden="false" customHeight="false" outlineLevel="0" collapsed="false">
      <c r="A94" s="12" t="s">
        <v>108</v>
      </c>
      <c r="B94" s="12" t="s">
        <v>60</v>
      </c>
      <c r="C94" s="12" t="s">
        <v>60</v>
      </c>
      <c r="D94" s="13" t="s">
        <v>3810</v>
      </c>
      <c r="E94" s="12"/>
    </row>
    <row r="95" customFormat="false" ht="15" hidden="false" customHeight="false" outlineLevel="0" collapsed="false">
      <c r="A95" s="12" t="s">
        <v>108</v>
      </c>
      <c r="B95" s="12" t="s">
        <v>331</v>
      </c>
      <c r="C95" s="12" t="s">
        <v>331</v>
      </c>
      <c r="D95" s="13" t="s">
        <v>3810</v>
      </c>
      <c r="E95" s="12"/>
    </row>
    <row r="96" customFormat="false" ht="15" hidden="false" customHeight="false" outlineLevel="0" collapsed="false">
      <c r="A96" s="12" t="s">
        <v>108</v>
      </c>
      <c r="B96" s="12" t="s">
        <v>1012</v>
      </c>
      <c r="C96" s="12" t="s">
        <v>1012</v>
      </c>
      <c r="D96" s="13" t="s">
        <v>3810</v>
      </c>
      <c r="E96" s="12"/>
    </row>
    <row r="97" customFormat="false" ht="15" hidden="false" customHeight="false" outlineLevel="0" collapsed="false">
      <c r="A97" s="12" t="s">
        <v>111</v>
      </c>
      <c r="B97" s="12" t="s">
        <v>52</v>
      </c>
      <c r="C97" s="12" t="s">
        <v>52</v>
      </c>
      <c r="D97" s="13" t="s">
        <v>3811</v>
      </c>
      <c r="E97" s="12"/>
    </row>
    <row r="98" customFormat="false" ht="15" hidden="false" customHeight="false" outlineLevel="0" collapsed="false">
      <c r="A98" s="12" t="s">
        <v>111</v>
      </c>
      <c r="B98" s="12" t="s">
        <v>53</v>
      </c>
      <c r="C98" s="12" t="s">
        <v>53</v>
      </c>
      <c r="D98" s="13" t="s">
        <v>3812</v>
      </c>
      <c r="E98" s="12"/>
    </row>
    <row r="99" customFormat="false" ht="15" hidden="false" customHeight="false" outlineLevel="0" collapsed="false">
      <c r="A99" s="12" t="s">
        <v>111</v>
      </c>
      <c r="B99" s="12" t="s">
        <v>54</v>
      </c>
      <c r="C99" s="12" t="s">
        <v>54</v>
      </c>
      <c r="D99" s="13" t="s">
        <v>3813</v>
      </c>
      <c r="E99" s="12"/>
    </row>
    <row r="100" customFormat="false" ht="15" hidden="false" customHeight="false" outlineLevel="0" collapsed="false">
      <c r="A100" s="12" t="s">
        <v>111</v>
      </c>
      <c r="B100" s="12" t="s">
        <v>55</v>
      </c>
      <c r="C100" s="12" t="s">
        <v>55</v>
      </c>
      <c r="D100" s="13" t="s">
        <v>3814</v>
      </c>
      <c r="E100" s="12"/>
    </row>
    <row r="101" customFormat="false" ht="15" hidden="false" customHeight="false" outlineLevel="0" collapsed="false">
      <c r="A101" s="12" t="s">
        <v>111</v>
      </c>
      <c r="B101" s="12" t="s">
        <v>56</v>
      </c>
      <c r="C101" s="12" t="s">
        <v>56</v>
      </c>
      <c r="D101" s="13" t="s">
        <v>3815</v>
      </c>
      <c r="E101" s="12"/>
    </row>
    <row r="102" customFormat="false" ht="15" hidden="false" customHeight="false" outlineLevel="0" collapsed="false">
      <c r="A102" s="12" t="s">
        <v>111</v>
      </c>
      <c r="B102" s="12" t="s">
        <v>57</v>
      </c>
      <c r="C102" s="12" t="s">
        <v>57</v>
      </c>
      <c r="D102" s="13" t="s">
        <v>3816</v>
      </c>
      <c r="E102" s="12"/>
    </row>
    <row r="103" customFormat="false" ht="15" hidden="false" customHeight="false" outlineLevel="0" collapsed="false">
      <c r="A103" s="12" t="s">
        <v>111</v>
      </c>
      <c r="B103" s="12" t="s">
        <v>58</v>
      </c>
      <c r="C103" s="12" t="s">
        <v>58</v>
      </c>
      <c r="D103" s="13" t="s">
        <v>3817</v>
      </c>
      <c r="E103" s="12"/>
    </row>
    <row r="104" customFormat="false" ht="15" hidden="false" customHeight="false" outlineLevel="0" collapsed="false">
      <c r="A104" s="12" t="s">
        <v>111</v>
      </c>
      <c r="B104" s="12" t="s">
        <v>59</v>
      </c>
      <c r="C104" s="12" t="s">
        <v>59</v>
      </c>
      <c r="D104" s="13" t="s">
        <v>3818</v>
      </c>
      <c r="E104" s="12"/>
    </row>
    <row r="105" customFormat="false" ht="15" hidden="false" customHeight="false" outlineLevel="0" collapsed="false">
      <c r="A105" s="12" t="s">
        <v>111</v>
      </c>
      <c r="B105" s="12" t="s">
        <v>60</v>
      </c>
      <c r="C105" s="12" t="s">
        <v>60</v>
      </c>
      <c r="D105" s="13" t="s">
        <v>3819</v>
      </c>
      <c r="E105" s="12"/>
    </row>
    <row r="106" customFormat="false" ht="15" hidden="false" customHeight="false" outlineLevel="0" collapsed="false">
      <c r="A106" s="12" t="s">
        <v>91</v>
      </c>
      <c r="B106" s="12" t="s">
        <v>38</v>
      </c>
      <c r="C106" s="12" t="s">
        <v>38</v>
      </c>
      <c r="D106" s="13" t="s">
        <v>3820</v>
      </c>
      <c r="E106" s="12"/>
    </row>
    <row r="107" customFormat="false" ht="15" hidden="false" customHeight="false" outlineLevel="0" collapsed="false">
      <c r="A107" s="12" t="s">
        <v>91</v>
      </c>
      <c r="B107" s="12" t="s">
        <v>39</v>
      </c>
      <c r="C107" s="12" t="s">
        <v>39</v>
      </c>
      <c r="D107" s="13" t="s">
        <v>3821</v>
      </c>
      <c r="E107" s="12"/>
    </row>
    <row r="108" customFormat="false" ht="15" hidden="false" customHeight="false" outlineLevel="0" collapsed="false">
      <c r="A108" s="12" t="s">
        <v>91</v>
      </c>
      <c r="B108" s="12" t="s">
        <v>40</v>
      </c>
      <c r="C108" s="12" t="s">
        <v>40</v>
      </c>
      <c r="D108" s="13" t="s">
        <v>3822</v>
      </c>
      <c r="E108" s="12"/>
    </row>
    <row r="109" customFormat="false" ht="15" hidden="false" customHeight="false" outlineLevel="0" collapsed="false">
      <c r="A109" s="12" t="s">
        <v>91</v>
      </c>
      <c r="B109" s="12" t="s">
        <v>41</v>
      </c>
      <c r="C109" s="12" t="s">
        <v>41</v>
      </c>
      <c r="D109" s="13" t="s">
        <v>3823</v>
      </c>
      <c r="E109" s="12"/>
    </row>
    <row r="110" customFormat="false" ht="15" hidden="false" customHeight="false" outlineLevel="0" collapsed="false">
      <c r="A110" s="12" t="s">
        <v>91</v>
      </c>
      <c r="B110" s="12" t="s">
        <v>42</v>
      </c>
      <c r="C110" s="12" t="s">
        <v>42</v>
      </c>
      <c r="D110" s="13" t="s">
        <v>3824</v>
      </c>
      <c r="E110" s="12"/>
    </row>
    <row r="111" customFormat="false" ht="15" hidden="false" customHeight="false" outlineLevel="0" collapsed="false">
      <c r="A111" s="12" t="s">
        <v>91</v>
      </c>
      <c r="B111" s="12" t="s">
        <v>43</v>
      </c>
      <c r="C111" s="12" t="s">
        <v>43</v>
      </c>
      <c r="D111" s="13" t="s">
        <v>3825</v>
      </c>
      <c r="E111" s="12"/>
    </row>
    <row r="112" customFormat="false" ht="15" hidden="false" customHeight="false" outlineLevel="0" collapsed="false">
      <c r="A112" s="12" t="s">
        <v>91</v>
      </c>
      <c r="B112" s="12" t="s">
        <v>44</v>
      </c>
      <c r="C112" s="12" t="s">
        <v>44</v>
      </c>
      <c r="D112" s="13" t="s">
        <v>3826</v>
      </c>
      <c r="E112" s="12"/>
    </row>
    <row r="113" customFormat="false" ht="15" hidden="false" customHeight="false" outlineLevel="0" collapsed="false">
      <c r="A113" s="12" t="s">
        <v>91</v>
      </c>
      <c r="B113" s="12" t="s">
        <v>45</v>
      </c>
      <c r="C113" s="12" t="s">
        <v>45</v>
      </c>
      <c r="D113" s="13" t="s">
        <v>3827</v>
      </c>
      <c r="E113" s="12"/>
    </row>
    <row r="114" customFormat="false" ht="15" hidden="false" customHeight="false" outlineLevel="0" collapsed="false">
      <c r="A114" s="12" t="s">
        <v>91</v>
      </c>
      <c r="B114" s="12" t="s">
        <v>46</v>
      </c>
      <c r="C114" s="12" t="s">
        <v>46</v>
      </c>
      <c r="D114" s="13" t="s">
        <v>3828</v>
      </c>
      <c r="E114" s="12"/>
    </row>
    <row r="115" customFormat="false" ht="15" hidden="false" customHeight="false" outlineLevel="0" collapsed="false">
      <c r="A115" s="12" t="s">
        <v>91</v>
      </c>
      <c r="B115" s="12" t="s">
        <v>47</v>
      </c>
      <c r="C115" s="12" t="s">
        <v>47</v>
      </c>
      <c r="D115" s="13" t="s">
        <v>3829</v>
      </c>
      <c r="E115" s="12"/>
    </row>
    <row r="116" customFormat="false" ht="15" hidden="false" customHeight="false" outlineLevel="0" collapsed="false">
      <c r="A116" s="12" t="s">
        <v>91</v>
      </c>
      <c r="B116" s="12" t="s">
        <v>48</v>
      </c>
      <c r="C116" s="12" t="s">
        <v>48</v>
      </c>
      <c r="D116" s="13" t="s">
        <v>3830</v>
      </c>
      <c r="E116" s="12"/>
    </row>
    <row r="117" customFormat="false" ht="15" hidden="false" customHeight="false" outlineLevel="0" collapsed="false">
      <c r="A117" s="12" t="s">
        <v>91</v>
      </c>
      <c r="B117" s="12" t="s">
        <v>49</v>
      </c>
      <c r="C117" s="12" t="s">
        <v>49</v>
      </c>
      <c r="D117" s="13" t="s">
        <v>3831</v>
      </c>
      <c r="E117" s="12"/>
    </row>
    <row r="118" customFormat="false" ht="15" hidden="false" customHeight="false" outlineLevel="0" collapsed="false">
      <c r="A118" s="12" t="s">
        <v>91</v>
      </c>
      <c r="B118" s="12" t="s">
        <v>50</v>
      </c>
      <c r="C118" s="12" t="s">
        <v>50</v>
      </c>
      <c r="D118" s="13" t="s">
        <v>3832</v>
      </c>
      <c r="E118" s="12"/>
    </row>
    <row r="119" customFormat="false" ht="15" hidden="false" customHeight="false" outlineLevel="0" collapsed="false">
      <c r="A119" s="12" t="s">
        <v>90</v>
      </c>
      <c r="B119" s="12" t="s">
        <v>19</v>
      </c>
      <c r="C119" s="12" t="s">
        <v>19</v>
      </c>
      <c r="D119" s="13" t="s">
        <v>3833</v>
      </c>
      <c r="E119" s="12"/>
    </row>
    <row r="120" customFormat="false" ht="15" hidden="false" customHeight="false" outlineLevel="0" collapsed="false">
      <c r="A120" s="12" t="s">
        <v>90</v>
      </c>
      <c r="B120" s="12" t="s">
        <v>20</v>
      </c>
      <c r="C120" s="12" t="s">
        <v>20</v>
      </c>
      <c r="D120" s="13" t="s">
        <v>3834</v>
      </c>
      <c r="E120" s="12"/>
    </row>
    <row r="121" customFormat="false" ht="15" hidden="false" customHeight="false" outlineLevel="0" collapsed="false">
      <c r="A121" s="12" t="s">
        <v>90</v>
      </c>
      <c r="B121" s="12" t="s">
        <v>21</v>
      </c>
      <c r="C121" s="12" t="s">
        <v>21</v>
      </c>
      <c r="D121" s="13" t="s">
        <v>3835</v>
      </c>
      <c r="E121" s="12"/>
    </row>
    <row r="122" customFormat="false" ht="15" hidden="false" customHeight="false" outlineLevel="0" collapsed="false">
      <c r="A122" s="12" t="s">
        <v>90</v>
      </c>
      <c r="B122" s="12" t="s">
        <v>22</v>
      </c>
      <c r="C122" s="12" t="s">
        <v>22</v>
      </c>
      <c r="D122" s="13" t="s">
        <v>3836</v>
      </c>
      <c r="E122" s="12"/>
    </row>
    <row r="123" customFormat="false" ht="15" hidden="false" customHeight="false" outlineLevel="0" collapsed="false">
      <c r="A123" s="12" t="s">
        <v>90</v>
      </c>
      <c r="B123" s="12" t="s">
        <v>23</v>
      </c>
      <c r="C123" s="12" t="s">
        <v>23</v>
      </c>
      <c r="D123" s="13" t="s">
        <v>3837</v>
      </c>
      <c r="E123" s="12"/>
    </row>
    <row r="124" customFormat="false" ht="23.85" hidden="false" customHeight="false" outlineLevel="0" collapsed="false">
      <c r="A124" s="12" t="s">
        <v>98</v>
      </c>
      <c r="B124" s="12" t="s">
        <v>62</v>
      </c>
      <c r="C124" s="12" t="s">
        <v>62</v>
      </c>
      <c r="D124" s="13" t="s">
        <v>3838</v>
      </c>
      <c r="E124" s="12" t="s">
        <v>3839</v>
      </c>
    </row>
    <row r="125" customFormat="false" ht="15" hidden="false" customHeight="false" outlineLevel="0" collapsed="false">
      <c r="A125" s="12" t="s">
        <v>98</v>
      </c>
      <c r="B125" s="12" t="s">
        <v>63</v>
      </c>
      <c r="C125" s="12" t="s">
        <v>63</v>
      </c>
      <c r="D125" s="13" t="s">
        <v>3840</v>
      </c>
      <c r="E125" s="12" t="s">
        <v>3839</v>
      </c>
    </row>
    <row r="126" customFormat="false" ht="15" hidden="false" customHeight="false" outlineLevel="0" collapsed="false">
      <c r="A126" s="12" t="s">
        <v>98</v>
      </c>
      <c r="B126" s="12" t="s">
        <v>64</v>
      </c>
      <c r="C126" s="12" t="s">
        <v>64</v>
      </c>
      <c r="D126" s="13" t="s">
        <v>3841</v>
      </c>
      <c r="E126" s="12" t="s">
        <v>3839</v>
      </c>
    </row>
    <row r="127" customFormat="false" ht="15" hidden="false" customHeight="false" outlineLevel="0" collapsed="false">
      <c r="A127" s="12" t="s">
        <v>98</v>
      </c>
      <c r="B127" s="12" t="s">
        <v>65</v>
      </c>
      <c r="C127" s="12" t="s">
        <v>65</v>
      </c>
      <c r="D127" s="13" t="s">
        <v>3842</v>
      </c>
      <c r="E127" s="12" t="s">
        <v>3839</v>
      </c>
    </row>
    <row r="128" customFormat="false" ht="23.85" hidden="false" customHeight="false" outlineLevel="0" collapsed="false">
      <c r="A128" s="12" t="s">
        <v>98</v>
      </c>
      <c r="B128" s="12" t="s">
        <v>66</v>
      </c>
      <c r="C128" s="12" t="s">
        <v>66</v>
      </c>
      <c r="D128" s="13" t="s">
        <v>3843</v>
      </c>
      <c r="E128" s="12" t="s">
        <v>3839</v>
      </c>
    </row>
    <row r="129" customFormat="false" ht="15" hidden="false" customHeight="false" outlineLevel="0" collapsed="false">
      <c r="A129" s="12" t="s">
        <v>98</v>
      </c>
      <c r="B129" s="12" t="s">
        <v>67</v>
      </c>
      <c r="C129" s="12" t="s">
        <v>67</v>
      </c>
      <c r="D129" s="13" t="s">
        <v>3844</v>
      </c>
      <c r="E129" s="12" t="s">
        <v>3839</v>
      </c>
    </row>
    <row r="130" customFormat="false" ht="15" hidden="false" customHeight="false" outlineLevel="0" collapsed="false">
      <c r="A130" s="12" t="s">
        <v>98</v>
      </c>
      <c r="B130" s="12" t="s">
        <v>68</v>
      </c>
      <c r="C130" s="12" t="s">
        <v>68</v>
      </c>
      <c r="D130" s="13" t="s">
        <v>3845</v>
      </c>
      <c r="E130" s="12" t="s">
        <v>3839</v>
      </c>
    </row>
    <row r="131" customFormat="false" ht="15" hidden="false" customHeight="false" outlineLevel="0" collapsed="false">
      <c r="A131" s="12" t="s">
        <v>98</v>
      </c>
      <c r="B131" s="12" t="s">
        <v>69</v>
      </c>
      <c r="C131" s="12" t="s">
        <v>69</v>
      </c>
      <c r="D131" s="13" t="s">
        <v>3846</v>
      </c>
      <c r="E131" s="12" t="s">
        <v>3839</v>
      </c>
    </row>
    <row r="132" customFormat="false" ht="15" hidden="false" customHeight="false" outlineLevel="0" collapsed="false">
      <c r="A132" s="12" t="s">
        <v>3466</v>
      </c>
      <c r="B132" s="12" t="s">
        <v>3717</v>
      </c>
      <c r="C132" s="12" t="s">
        <v>3717</v>
      </c>
      <c r="D132" s="13"/>
      <c r="E132" s="12"/>
    </row>
    <row r="133" customFormat="false" ht="15" hidden="false" customHeight="false" outlineLevel="0" collapsed="false">
      <c r="A133" s="12" t="s">
        <v>3466</v>
      </c>
      <c r="B133" s="12" t="s">
        <v>3726</v>
      </c>
      <c r="C133" s="12" t="s">
        <v>3726</v>
      </c>
      <c r="D133" s="13"/>
      <c r="E133" s="12"/>
    </row>
    <row r="134" customFormat="false" ht="15" hidden="false" customHeight="false" outlineLevel="0" collapsed="false">
      <c r="A134" s="12" t="s">
        <v>3466</v>
      </c>
      <c r="B134" s="12" t="s">
        <v>3595</v>
      </c>
      <c r="C134" s="12" t="s">
        <v>3595</v>
      </c>
      <c r="D134" s="13"/>
      <c r="E134" s="12"/>
    </row>
    <row r="135" customFormat="false" ht="15" hidden="false" customHeight="false" outlineLevel="0" collapsed="false">
      <c r="A135" s="12" t="s">
        <v>3466</v>
      </c>
      <c r="B135" s="12" t="s">
        <v>470</v>
      </c>
      <c r="C135" s="12" t="s">
        <v>470</v>
      </c>
      <c r="D135" s="13"/>
      <c r="E135" s="12"/>
    </row>
    <row r="136" customFormat="false" ht="15" hidden="false" customHeight="false" outlineLevel="0" collapsed="false">
      <c r="A136" s="12" t="s">
        <v>3466</v>
      </c>
      <c r="B136" s="12" t="s">
        <v>22</v>
      </c>
      <c r="C136" s="12" t="s">
        <v>22</v>
      </c>
      <c r="D136" s="13"/>
      <c r="E136" s="12"/>
    </row>
    <row r="137" customFormat="false" ht="15" hidden="false" customHeight="false" outlineLevel="0" collapsed="false">
      <c r="A137" s="12" t="s">
        <v>3466</v>
      </c>
      <c r="B137" s="12" t="s">
        <v>483</v>
      </c>
      <c r="C137" s="12" t="s">
        <v>483</v>
      </c>
      <c r="D137" s="13"/>
      <c r="E137" s="12"/>
    </row>
    <row r="138" customFormat="false" ht="15" hidden="false" customHeight="false" outlineLevel="0" collapsed="false">
      <c r="A138" s="12" t="s">
        <v>3466</v>
      </c>
      <c r="B138" s="12" t="s">
        <v>50</v>
      </c>
      <c r="C138" s="12" t="s">
        <v>50</v>
      </c>
      <c r="D138" s="13"/>
      <c r="E138" s="12"/>
    </row>
    <row r="139" customFormat="false" ht="15" hidden="false" customHeight="false" outlineLevel="0" collapsed="false">
      <c r="A139" s="12" t="s">
        <v>3466</v>
      </c>
      <c r="B139" s="12" t="s">
        <v>3722</v>
      </c>
      <c r="C139" s="12" t="s">
        <v>3722</v>
      </c>
      <c r="D139" s="13"/>
      <c r="E139" s="12"/>
    </row>
    <row r="140" customFormat="false" ht="15" hidden="false" customHeight="false" outlineLevel="0" collapsed="false">
      <c r="A140" s="12" t="s">
        <v>3466</v>
      </c>
      <c r="B140" s="12" t="s">
        <v>43</v>
      </c>
      <c r="C140" s="12" t="s">
        <v>43</v>
      </c>
      <c r="D140" s="13"/>
      <c r="E140" s="12"/>
    </row>
    <row r="141" customFormat="false" ht="15" hidden="false" customHeight="false" outlineLevel="0" collapsed="false">
      <c r="A141" s="12" t="s">
        <v>3466</v>
      </c>
      <c r="B141" s="12" t="s">
        <v>20</v>
      </c>
      <c r="C141" s="12" t="s">
        <v>20</v>
      </c>
      <c r="D141" s="13"/>
      <c r="E141" s="12"/>
    </row>
    <row r="142" customFormat="false" ht="15" hidden="false" customHeight="false" outlineLevel="0" collapsed="false">
      <c r="A142" s="12" t="s">
        <v>3466</v>
      </c>
      <c r="B142" s="12" t="s">
        <v>3720</v>
      </c>
      <c r="C142" s="12" t="s">
        <v>3720</v>
      </c>
      <c r="D142" s="13"/>
      <c r="E142" s="12"/>
    </row>
    <row r="143" customFormat="false" ht="15" hidden="false" customHeight="false" outlineLevel="0" collapsed="false">
      <c r="A143" s="12" t="s">
        <v>3466</v>
      </c>
      <c r="B143" s="12" t="s">
        <v>21</v>
      </c>
      <c r="C143" s="12" t="s">
        <v>21</v>
      </c>
      <c r="D143" s="13"/>
      <c r="E143" s="12"/>
    </row>
    <row r="144" customFormat="false" ht="15" hidden="false" customHeight="false" outlineLevel="0" collapsed="false">
      <c r="A144" s="12" t="s">
        <v>104</v>
      </c>
      <c r="B144" s="12" t="s">
        <v>507</v>
      </c>
      <c r="C144" s="12" t="s">
        <v>507</v>
      </c>
      <c r="D144" s="13"/>
      <c r="E144" s="12"/>
    </row>
    <row r="145" customFormat="false" ht="15" hidden="false" customHeight="false" outlineLevel="0" collapsed="false">
      <c r="A145" s="12" t="s">
        <v>104</v>
      </c>
      <c r="B145" s="12" t="s">
        <v>154</v>
      </c>
      <c r="C145" s="12" t="s">
        <v>154</v>
      </c>
      <c r="D145" s="13"/>
      <c r="E145" s="12"/>
    </row>
    <row r="146" customFormat="false" ht="15" hidden="false" customHeight="false" outlineLevel="0" collapsed="false">
      <c r="A146" s="12" t="s">
        <v>104</v>
      </c>
      <c r="B146" s="12" t="s">
        <v>551</v>
      </c>
      <c r="C146" s="12" t="s">
        <v>551</v>
      </c>
      <c r="D146" s="13"/>
      <c r="E146" s="12"/>
    </row>
    <row r="147" customFormat="false" ht="15" hidden="false" customHeight="false" outlineLevel="0" collapsed="false">
      <c r="A147" s="12" t="s">
        <v>104</v>
      </c>
      <c r="B147" s="12" t="s">
        <v>227</v>
      </c>
      <c r="C147" s="12" t="s">
        <v>227</v>
      </c>
      <c r="D147" s="13"/>
      <c r="E147" s="12"/>
    </row>
    <row r="148" customFormat="false" ht="15" hidden="false" customHeight="false" outlineLevel="0" collapsed="false">
      <c r="A148" s="12" t="s">
        <v>104</v>
      </c>
      <c r="B148" s="12" t="s">
        <v>190</v>
      </c>
      <c r="C148" s="12" t="s">
        <v>190</v>
      </c>
      <c r="D148" s="13"/>
      <c r="E148" s="12"/>
    </row>
    <row r="149" customFormat="false" ht="15" hidden="false" customHeight="false" outlineLevel="0" collapsed="false">
      <c r="A149" s="12" t="s">
        <v>104</v>
      </c>
      <c r="B149" s="12" t="s">
        <v>521</v>
      </c>
      <c r="C149" s="12" t="s">
        <v>521</v>
      </c>
      <c r="D149" s="13"/>
      <c r="E149" s="12"/>
    </row>
    <row r="150" customFormat="false" ht="15" hidden="false" customHeight="false" outlineLevel="0" collapsed="false">
      <c r="A150" s="12" t="s">
        <v>104</v>
      </c>
      <c r="B150" s="12" t="s">
        <v>317</v>
      </c>
      <c r="C150" s="12" t="s">
        <v>317</v>
      </c>
      <c r="D150" s="13"/>
      <c r="E150" s="12"/>
    </row>
    <row r="151" customFormat="false" ht="15" hidden="false" customHeight="false" outlineLevel="0" collapsed="false">
      <c r="A151" s="12" t="s">
        <v>104</v>
      </c>
      <c r="B151" s="12" t="s">
        <v>235</v>
      </c>
      <c r="C151" s="12" t="s">
        <v>235</v>
      </c>
      <c r="D151" s="13"/>
      <c r="E151" s="12"/>
    </row>
    <row r="152" customFormat="false" ht="15" hidden="false" customHeight="false" outlineLevel="0" collapsed="false">
      <c r="A152" s="12" t="s">
        <v>104</v>
      </c>
      <c r="B152" s="12" t="s">
        <v>287</v>
      </c>
      <c r="C152" s="12" t="s">
        <v>287</v>
      </c>
      <c r="D152" s="13"/>
      <c r="E152" s="12"/>
    </row>
    <row r="153" customFormat="false" ht="15" hidden="false" customHeight="false" outlineLevel="0" collapsed="false">
      <c r="A153" s="12" t="s">
        <v>104</v>
      </c>
      <c r="B153" s="12" t="s">
        <v>1198</v>
      </c>
      <c r="C153" s="12" t="s">
        <v>1198</v>
      </c>
      <c r="D153" s="13"/>
      <c r="E153" s="12"/>
    </row>
    <row r="154" customFormat="false" ht="15" hidden="false" customHeight="false" outlineLevel="0" collapsed="false">
      <c r="A154" s="12" t="s">
        <v>104</v>
      </c>
      <c r="B154" s="12" t="s">
        <v>410</v>
      </c>
      <c r="C154" s="12" t="s">
        <v>410</v>
      </c>
      <c r="D154" s="13"/>
      <c r="E154" s="12"/>
    </row>
    <row r="155" customFormat="false" ht="15" hidden="false" customHeight="false" outlineLevel="0" collapsed="false">
      <c r="A155" s="12" t="s">
        <v>104</v>
      </c>
      <c r="B155" s="12" t="s">
        <v>394</v>
      </c>
      <c r="C155" s="12" t="s">
        <v>394</v>
      </c>
      <c r="D155" s="13"/>
      <c r="E155" s="12"/>
    </row>
    <row r="156" customFormat="false" ht="15" hidden="false" customHeight="false" outlineLevel="0" collapsed="false">
      <c r="A156" s="12" t="s">
        <v>104</v>
      </c>
      <c r="B156" s="12" t="s">
        <v>872</v>
      </c>
      <c r="C156" s="12" t="s">
        <v>872</v>
      </c>
      <c r="D156" s="13"/>
      <c r="E156" s="12"/>
    </row>
    <row r="157" customFormat="false" ht="15" hidden="false" customHeight="false" outlineLevel="0" collapsed="false">
      <c r="A157" s="12" t="s">
        <v>104</v>
      </c>
      <c r="B157" s="12" t="s">
        <v>246</v>
      </c>
      <c r="C157" s="12" t="s">
        <v>246</v>
      </c>
      <c r="D157" s="13"/>
      <c r="E157" s="12"/>
    </row>
    <row r="158" customFormat="false" ht="15" hidden="false" customHeight="false" outlineLevel="0" collapsed="false">
      <c r="A158" s="12" t="s">
        <v>104</v>
      </c>
      <c r="B158" s="12" t="s">
        <v>1331</v>
      </c>
      <c r="C158" s="12" t="s">
        <v>1331</v>
      </c>
      <c r="D158" s="13"/>
      <c r="E158" s="12"/>
    </row>
    <row r="159" customFormat="false" ht="15" hidden="false" customHeight="false" outlineLevel="0" collapsed="false">
      <c r="A159" s="12" t="s">
        <v>104</v>
      </c>
      <c r="B159" s="12" t="s">
        <v>472</v>
      </c>
      <c r="C159" s="12" t="s">
        <v>472</v>
      </c>
      <c r="D159" s="13"/>
      <c r="E159" s="12"/>
    </row>
    <row r="160" customFormat="false" ht="23.85" hidden="false" customHeight="false" outlineLevel="0" collapsed="false">
      <c r="A160" s="12" t="s">
        <v>135</v>
      </c>
      <c r="B160" s="12" t="n">
        <v>5</v>
      </c>
      <c r="C160" s="12" t="s">
        <v>172</v>
      </c>
      <c r="D160" s="13" t="s">
        <v>3847</v>
      </c>
      <c r="E160" s="12"/>
    </row>
    <row r="161" customFormat="false" ht="23.85" hidden="false" customHeight="false" outlineLevel="0" collapsed="false">
      <c r="A161" s="12" t="s">
        <v>135</v>
      </c>
      <c r="B161" s="12" t="n">
        <v>4</v>
      </c>
      <c r="C161" s="12" t="s">
        <v>338</v>
      </c>
      <c r="D161" s="13" t="s">
        <v>3847</v>
      </c>
      <c r="E161" s="12"/>
    </row>
    <row r="162" customFormat="false" ht="23.85" hidden="false" customHeight="false" outlineLevel="0" collapsed="false">
      <c r="A162" s="12" t="s">
        <v>135</v>
      </c>
      <c r="B162" s="12" t="n">
        <v>3</v>
      </c>
      <c r="C162" s="12" t="s">
        <v>308</v>
      </c>
      <c r="D162" s="13" t="s">
        <v>3847</v>
      </c>
      <c r="E162" s="12"/>
    </row>
    <row r="163" customFormat="false" ht="23.85" hidden="false" customHeight="false" outlineLevel="0" collapsed="false">
      <c r="A163" s="12" t="s">
        <v>135</v>
      </c>
      <c r="B163" s="12" t="n">
        <v>2</v>
      </c>
      <c r="C163" s="12" t="s">
        <v>560</v>
      </c>
      <c r="D163" s="13" t="s">
        <v>3847</v>
      </c>
      <c r="E163" s="12"/>
    </row>
    <row r="164" customFormat="false" ht="23.85" hidden="false" customHeight="false" outlineLevel="0" collapsed="false">
      <c r="A164" s="12" t="s">
        <v>135</v>
      </c>
      <c r="B164" s="12" t="n">
        <v>1</v>
      </c>
      <c r="C164" s="12" t="s">
        <v>805</v>
      </c>
      <c r="D164" s="13" t="s">
        <v>3847</v>
      </c>
      <c r="E164" s="12"/>
    </row>
    <row r="165" customFormat="false" ht="15" hidden="false" customHeight="false" outlineLevel="0" collapsed="false">
      <c r="A165" s="12" t="s">
        <v>2338</v>
      </c>
      <c r="B165" s="12" t="s">
        <v>2344</v>
      </c>
      <c r="C165" s="12" t="s">
        <v>2344</v>
      </c>
      <c r="D165" s="13"/>
      <c r="E165" s="12"/>
    </row>
    <row r="166" customFormat="false" ht="15" hidden="false" customHeight="false" outlineLevel="0" collapsed="false">
      <c r="A166" s="12" t="s">
        <v>2338</v>
      </c>
      <c r="B166" s="12" t="s">
        <v>2350</v>
      </c>
      <c r="C166" s="12" t="s">
        <v>2350</v>
      </c>
      <c r="D166" s="13"/>
      <c r="E166" s="12"/>
    </row>
    <row r="167" customFormat="false" ht="15" hidden="false" customHeight="false" outlineLevel="0" collapsed="false">
      <c r="A167" s="12" t="s">
        <v>2338</v>
      </c>
      <c r="B167" s="12" t="s">
        <v>2385</v>
      </c>
      <c r="C167" s="12" t="s">
        <v>2385</v>
      </c>
      <c r="D167" s="13"/>
      <c r="E167" s="12"/>
    </row>
    <row r="168" customFormat="false" ht="15" hidden="false" customHeight="false" outlineLevel="0" collapsed="false">
      <c r="A168" s="12" t="s">
        <v>2338</v>
      </c>
      <c r="B168" s="12" t="s">
        <v>2534</v>
      </c>
      <c r="C168" s="12" t="s">
        <v>2534</v>
      </c>
      <c r="D168" s="13"/>
      <c r="E168" s="12"/>
    </row>
    <row r="169" customFormat="false" ht="15" hidden="false" customHeight="false" outlineLevel="0" collapsed="false">
      <c r="A169" s="12" t="s">
        <v>3848</v>
      </c>
      <c r="B169" s="12" t="s">
        <v>3461</v>
      </c>
      <c r="C169" s="12" t="s">
        <v>3461</v>
      </c>
      <c r="D169" s="13" t="s">
        <v>3849</v>
      </c>
      <c r="E169" s="12"/>
    </row>
    <row r="170" customFormat="false" ht="15" hidden="false" customHeight="false" outlineLevel="0" collapsed="false">
      <c r="A170" s="12" t="s">
        <v>3848</v>
      </c>
      <c r="B170" s="12" t="s">
        <v>3463</v>
      </c>
      <c r="C170" s="12" t="s">
        <v>3463</v>
      </c>
      <c r="D170" s="13" t="s">
        <v>3850</v>
      </c>
      <c r="E170" s="12"/>
    </row>
    <row r="171" customFormat="false" ht="15" hidden="false" customHeight="false" outlineLevel="0" collapsed="false">
      <c r="A171" s="12" t="s">
        <v>3848</v>
      </c>
      <c r="B171" s="12" t="s">
        <v>3464</v>
      </c>
      <c r="C171" s="12" t="s">
        <v>3464</v>
      </c>
      <c r="D171" s="13" t="s">
        <v>3851</v>
      </c>
      <c r="E171" s="12"/>
    </row>
    <row r="172" customFormat="false" ht="15" hidden="false" customHeight="false" outlineLevel="0" collapsed="false">
      <c r="A172" s="12" t="s">
        <v>3848</v>
      </c>
      <c r="B172" s="12" t="s">
        <v>3462</v>
      </c>
      <c r="C172" s="12" t="s">
        <v>3462</v>
      </c>
      <c r="D172" s="13" t="s">
        <v>3852</v>
      </c>
      <c r="E172" s="12"/>
    </row>
    <row r="173" customFormat="false" ht="15" hidden="false" customHeight="false" outlineLevel="0" collapsed="false">
      <c r="A173" s="12" t="s">
        <v>3853</v>
      </c>
      <c r="B173" s="12" t="s">
        <v>3474</v>
      </c>
      <c r="C173" s="12" t="s">
        <v>3474</v>
      </c>
      <c r="D173" s="13" t="s">
        <v>3854</v>
      </c>
      <c r="E173" s="12"/>
    </row>
    <row r="174" customFormat="false" ht="15" hidden="false" customHeight="false" outlineLevel="0" collapsed="false">
      <c r="A174" s="12" t="s">
        <v>3853</v>
      </c>
      <c r="B174" s="12" t="s">
        <v>3508</v>
      </c>
      <c r="C174" s="12" t="s">
        <v>3508</v>
      </c>
      <c r="D174" s="13" t="s">
        <v>3855</v>
      </c>
      <c r="E174" s="12"/>
    </row>
    <row r="175" customFormat="false" ht="15" hidden="false" customHeight="false" outlineLevel="0" collapsed="false">
      <c r="A175" s="12" t="s">
        <v>3853</v>
      </c>
      <c r="B175" s="12" t="s">
        <v>3509</v>
      </c>
      <c r="C175" s="12" t="s">
        <v>3509</v>
      </c>
      <c r="D175" s="13" t="s">
        <v>3856</v>
      </c>
      <c r="E175" s="12"/>
    </row>
    <row r="176" customFormat="false" ht="15" hidden="false" customHeight="false" outlineLevel="0" collapsed="false">
      <c r="A176" s="12" t="s">
        <v>3853</v>
      </c>
      <c r="B176" s="12" t="s">
        <v>3476</v>
      </c>
      <c r="C176" s="12" t="s">
        <v>3476</v>
      </c>
      <c r="D176" s="13" t="s">
        <v>3857</v>
      </c>
      <c r="E176" s="12"/>
    </row>
    <row r="177" customFormat="false" ht="15" hidden="false" customHeight="false" outlineLevel="0" collapsed="false">
      <c r="A177" s="12" t="s">
        <v>3853</v>
      </c>
      <c r="B177" s="12" t="s">
        <v>3475</v>
      </c>
      <c r="C177" s="12" t="s">
        <v>3475</v>
      </c>
      <c r="D177" s="13" t="s">
        <v>3858</v>
      </c>
      <c r="E177" s="12"/>
    </row>
    <row r="178" customFormat="false" ht="15" hidden="false" customHeight="false" outlineLevel="0" collapsed="false">
      <c r="A178" s="12" t="s">
        <v>3853</v>
      </c>
      <c r="B178" s="12" t="s">
        <v>3473</v>
      </c>
      <c r="C178" s="12" t="s">
        <v>3473</v>
      </c>
      <c r="D178" s="13" t="s">
        <v>3859</v>
      </c>
      <c r="E178" s="12"/>
    </row>
    <row r="179" customFormat="false" ht="15" hidden="false" customHeight="false" outlineLevel="0" collapsed="false">
      <c r="A179" s="12" t="s">
        <v>3853</v>
      </c>
      <c r="B179" s="12" t="s">
        <v>3507</v>
      </c>
      <c r="C179" s="12" t="s">
        <v>3507</v>
      </c>
      <c r="D179" s="13" t="s">
        <v>3860</v>
      </c>
      <c r="E179" s="12"/>
    </row>
  </sheetData>
  <autoFilter ref="A1:E1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0"/>
    <col collapsed="false" customWidth="true" hidden="false" outlineLevel="0" max="4" min="4" style="0" width="15"/>
    <col collapsed="false" customWidth="true" hidden="false" outlineLevel="0" max="5" min="5" style="0" width="28"/>
  </cols>
  <sheetData>
    <row r="1" customFormat="false" ht="23.85" hidden="false" customHeight="false" outlineLevel="0" collapsed="false">
      <c r="A1" s="11" t="s">
        <v>3861</v>
      </c>
      <c r="B1" s="11" t="s">
        <v>3862</v>
      </c>
      <c r="C1" s="11" t="s">
        <v>3863</v>
      </c>
      <c r="D1" s="11" t="s">
        <v>3864</v>
      </c>
      <c r="E1" s="11" t="s">
        <v>3865</v>
      </c>
    </row>
    <row r="2" customFormat="false" ht="15" hidden="false" customHeight="false" outlineLevel="0" collapsed="false">
      <c r="A2" s="12" t="s">
        <v>18</v>
      </c>
      <c r="B2" s="12" t="n">
        <v>35</v>
      </c>
      <c r="C2" s="12" t="s">
        <v>3866</v>
      </c>
      <c r="D2" s="12" t="s">
        <v>3867</v>
      </c>
      <c r="E2" s="12" t="s">
        <v>3868</v>
      </c>
    </row>
    <row r="3" customFormat="false" ht="15" hidden="false" customHeight="false" outlineLevel="0" collapsed="false">
      <c r="A3" s="12" t="s">
        <v>3869</v>
      </c>
      <c r="B3" s="12" t="n">
        <v>35</v>
      </c>
      <c r="C3" s="12" t="s">
        <v>3870</v>
      </c>
      <c r="D3" s="12" t="s">
        <v>3871</v>
      </c>
      <c r="E3" s="12" t="s">
        <v>3868</v>
      </c>
    </row>
    <row r="4" customFormat="false" ht="15" hidden="false" customHeight="false" outlineLevel="0" collapsed="false">
      <c r="A4" s="12" t="s">
        <v>3872</v>
      </c>
      <c r="B4" s="12" t="n">
        <v>35</v>
      </c>
      <c r="C4" s="12" t="s">
        <v>3866</v>
      </c>
      <c r="D4" s="12" t="s">
        <v>3873</v>
      </c>
      <c r="E4" s="12" t="s">
        <v>3868</v>
      </c>
    </row>
    <row r="5" customFormat="false" ht="15" hidden="false" customHeight="false" outlineLevel="0" collapsed="false">
      <c r="A5" s="12" t="s">
        <v>3874</v>
      </c>
      <c r="B5" s="12" t="n">
        <v>35</v>
      </c>
      <c r="C5" s="12" t="s">
        <v>3870</v>
      </c>
      <c r="D5" s="12" t="s">
        <v>3875</v>
      </c>
      <c r="E5" s="12" t="s">
        <v>3868</v>
      </c>
    </row>
    <row r="6" customFormat="false" ht="15" hidden="false" customHeight="false" outlineLevel="0" collapsed="false">
      <c r="A6" s="12" t="s">
        <v>3876</v>
      </c>
      <c r="B6" s="12" t="n">
        <v>35</v>
      </c>
      <c r="C6" s="12" t="s">
        <v>3877</v>
      </c>
      <c r="D6" s="12" t="s">
        <v>3878</v>
      </c>
      <c r="E6" s="12" t="s">
        <v>3868</v>
      </c>
    </row>
    <row r="7" customFormat="false" ht="15" hidden="false" customHeight="false" outlineLevel="0" collapsed="false">
      <c r="A7" s="12" t="s">
        <v>3879</v>
      </c>
      <c r="B7" s="12"/>
      <c r="C7" s="12"/>
      <c r="D7" s="12"/>
      <c r="E7" s="12"/>
    </row>
    <row r="8" customFormat="false" ht="15" hidden="false" customHeight="false" outlineLevel="0" collapsed="false">
      <c r="A8" s="12" t="s">
        <v>3880</v>
      </c>
      <c r="B8" s="12" t="s">
        <v>3881</v>
      </c>
      <c r="C8" s="12" t="s">
        <v>3882</v>
      </c>
      <c r="D8" s="12" t="s">
        <v>3883</v>
      </c>
      <c r="E8" s="12" t="s">
        <v>3884</v>
      </c>
    </row>
    <row r="9" customFormat="false" ht="15" hidden="false" customHeight="false" outlineLevel="0" collapsed="false">
      <c r="A9" s="12" t="s">
        <v>821</v>
      </c>
      <c r="B9" s="12" t="s">
        <v>18</v>
      </c>
      <c r="C9" s="12" t="s">
        <v>3885</v>
      </c>
      <c r="D9" s="12" t="s">
        <v>26</v>
      </c>
      <c r="E9" s="12" t="s">
        <v>27</v>
      </c>
    </row>
    <row r="10" customFormat="false" ht="15" hidden="false" customHeight="false" outlineLevel="0" collapsed="false">
      <c r="A10" s="12" t="s">
        <v>281</v>
      </c>
      <c r="B10" s="12" t="s">
        <v>3869</v>
      </c>
      <c r="C10" s="12" t="s">
        <v>282</v>
      </c>
      <c r="D10" s="12" t="s">
        <v>72</v>
      </c>
      <c r="E10" s="12" t="s">
        <v>83</v>
      </c>
    </row>
    <row r="11" customFormat="false" ht="15" hidden="false" customHeight="false" outlineLevel="0" collapsed="false">
      <c r="A11" s="12" t="s">
        <v>300</v>
      </c>
      <c r="B11" s="12" t="s">
        <v>3869</v>
      </c>
      <c r="C11" s="12" t="s">
        <v>3886</v>
      </c>
      <c r="D11" s="12" t="s">
        <v>80</v>
      </c>
      <c r="E11" s="12" t="s">
        <v>78</v>
      </c>
    </row>
    <row r="12" customFormat="false" ht="15" hidden="false" customHeight="false" outlineLevel="0" collapsed="false">
      <c r="A12" s="12" t="s">
        <v>1098</v>
      </c>
      <c r="B12" s="12" t="s">
        <v>3869</v>
      </c>
      <c r="C12" s="12" t="s">
        <v>3887</v>
      </c>
      <c r="D12" s="12" t="s">
        <v>73</v>
      </c>
      <c r="E12" s="12" t="s">
        <v>78</v>
      </c>
    </row>
    <row r="13" customFormat="false" ht="15" hidden="false" customHeight="false" outlineLevel="0" collapsed="false">
      <c r="A13" s="12" t="s">
        <v>325</v>
      </c>
      <c r="B13" s="12" t="s">
        <v>3872</v>
      </c>
      <c r="C13" s="12" t="s">
        <v>3888</v>
      </c>
      <c r="D13" s="12" t="s">
        <v>159</v>
      </c>
      <c r="E13" s="12" t="s">
        <v>60</v>
      </c>
    </row>
    <row r="14" customFormat="false" ht="15" hidden="false" customHeight="false" outlineLevel="0" collapsed="false">
      <c r="A14" s="12" t="s">
        <v>175</v>
      </c>
      <c r="B14" s="12" t="s">
        <v>3874</v>
      </c>
      <c r="C14" s="12" t="s">
        <v>176</v>
      </c>
      <c r="D14" s="12" t="s">
        <v>155</v>
      </c>
      <c r="E14" s="12" t="s">
        <v>179</v>
      </c>
    </row>
    <row r="15" customFormat="false" ht="15" hidden="false" customHeight="false" outlineLevel="0" collapsed="false">
      <c r="A15" s="12" t="s">
        <v>1126</v>
      </c>
      <c r="B15" s="12" t="s">
        <v>3874</v>
      </c>
      <c r="C15" s="12" t="s">
        <v>1127</v>
      </c>
      <c r="D15" s="12" t="s">
        <v>155</v>
      </c>
      <c r="E15" s="12" t="s">
        <v>179</v>
      </c>
    </row>
    <row r="16" customFormat="false" ht="15" hidden="false" customHeight="false" outlineLevel="0" collapsed="false">
      <c r="A16" s="12" t="s">
        <v>1137</v>
      </c>
      <c r="B16" s="12" t="s">
        <v>3874</v>
      </c>
      <c r="C16" s="12" t="s">
        <v>1138</v>
      </c>
      <c r="D16" s="12" t="s">
        <v>155</v>
      </c>
      <c r="E16" s="12" t="s">
        <v>179</v>
      </c>
    </row>
    <row r="17" customFormat="false" ht="15" hidden="false" customHeight="false" outlineLevel="0" collapsed="false">
      <c r="A17" s="12" t="s">
        <v>281</v>
      </c>
      <c r="B17" s="12" t="s">
        <v>3876</v>
      </c>
      <c r="C17" s="12" t="s">
        <v>282</v>
      </c>
      <c r="D17" s="12" t="s">
        <v>169</v>
      </c>
      <c r="E17" s="12" t="s">
        <v>183</v>
      </c>
    </row>
    <row r="18" customFormat="false" ht="15" hidden="false" customHeight="false" outlineLevel="0" collapsed="false">
      <c r="A18" s="12" t="s">
        <v>1317</v>
      </c>
      <c r="B18" s="12" t="s">
        <v>3876</v>
      </c>
      <c r="C18" s="12" t="s">
        <v>1318</v>
      </c>
      <c r="D18" s="12" t="s">
        <v>230</v>
      </c>
      <c r="E18" s="12" t="s">
        <v>183</v>
      </c>
    </row>
  </sheetData>
  <autoFilter ref="A1:E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86</v>
      </c>
      <c r="B1" s="0" t="s">
        <v>113</v>
      </c>
      <c r="C1" s="0" t="s">
        <v>103</v>
      </c>
      <c r="D1" s="0" t="s">
        <v>109</v>
      </c>
      <c r="E1" s="0" t="s">
        <v>105</v>
      </c>
      <c r="F1" s="0" t="s">
        <v>128</v>
      </c>
      <c r="H1" s="0" t="s">
        <v>3889</v>
      </c>
      <c r="I1" s="0" t="s">
        <v>3890</v>
      </c>
      <c r="J1" s="0" t="s">
        <v>3891</v>
      </c>
      <c r="K1" s="0" t="s">
        <v>3892</v>
      </c>
      <c r="L1" s="0" t="s">
        <v>3893</v>
      </c>
    </row>
    <row r="2" customFormat="false" ht="15" hidden="false" customHeight="false" outlineLevel="0" collapsed="false">
      <c r="A2" s="0" t="s">
        <v>143</v>
      </c>
      <c r="B2" s="0" t="str">
        <f aca="false">INDEX('All projects'!$AB$2:$AB$119,MATCH($A2,'All projects'!$A$2:$A$119,0))</f>
        <v>Implemented</v>
      </c>
      <c r="C2" s="0" t="str">
        <f aca="false">INDEX('All projects'!$R$2:$R$119,MATCH($A2,'All projects'!$A$2:$A$119,0))</f>
        <v>Platform / ecosystem</v>
      </c>
      <c r="D2" s="0" t="str">
        <f aca="false">INDEX('All projects'!$X$2:$X$119,MATCH($A2,'All projects'!$A$2:$A$119,0))</f>
        <v>Permissioned</v>
      </c>
      <c r="E2" s="0" t="str">
        <f aca="false">INDEX('All projects'!$T$2:$T$119,MATCH($A2,'All projects'!$A$2:$A$119,0))</f>
        <v>G2G</v>
      </c>
      <c r="F2" s="0" t="str">
        <f aca="false">INDEX('All projects'!$AQ$2:$AQ$119,MATCH($A2,'All projects'!$A$2:$A$119,0))</f>
        <v>Large (≥10 lakh)</v>
      </c>
      <c r="H2" s="0" t="s">
        <v>26</v>
      </c>
      <c r="I2" s="0" t="s">
        <v>71</v>
      </c>
      <c r="J2" s="0" t="s">
        <v>159</v>
      </c>
      <c r="K2" s="0" t="s">
        <v>191</v>
      </c>
      <c r="L2" s="0" t="s">
        <v>169</v>
      </c>
    </row>
    <row r="3" customFormat="false" ht="15" hidden="false" customHeight="false" outlineLevel="0" collapsed="false">
      <c r="A3" s="0" t="s">
        <v>175</v>
      </c>
      <c r="B3" s="0" t="str">
        <f aca="false">INDEX('All projects'!$AB$2:$AB$119,MATCH($A3,'All projects'!$A$2:$A$119,0))</f>
        <v>Implemented</v>
      </c>
      <c r="C3" s="0" t="str">
        <f aca="false">INDEX('All projects'!$R$2:$R$119,MATCH($A3,'All projects'!$A$2:$A$119,0))</f>
        <v>Platform / ecosystem</v>
      </c>
      <c r="D3" s="0" t="str">
        <f aca="false">INDEX('All projects'!$X$2:$X$119,MATCH($A3,'All projects'!$A$2:$A$119,0))</f>
        <v>Permissioned</v>
      </c>
      <c r="E3" s="0" t="str">
        <f aca="false">INDEX('All projects'!$T$2:$T$119,MATCH($A3,'All projects'!$A$2:$A$119,0))</f>
        <v>G2B</v>
      </c>
      <c r="F3" s="0" t="str">
        <f aca="false">INDEX('All projects'!$AQ$2:$AQ$119,MATCH($A3,'All projects'!$A$2:$A$119,0))</f>
        <v>Not reported</v>
      </c>
      <c r="H3" s="0" t="s">
        <v>27</v>
      </c>
      <c r="I3" s="0" t="s">
        <v>72</v>
      </c>
      <c r="J3" s="0" t="s">
        <v>555</v>
      </c>
      <c r="K3" s="0" t="s">
        <v>179</v>
      </c>
      <c r="L3" s="0" t="s">
        <v>230</v>
      </c>
    </row>
    <row r="4" customFormat="false" ht="15" hidden="false" customHeight="false" outlineLevel="0" collapsed="false">
      <c r="A4" s="0" t="s">
        <v>265</v>
      </c>
      <c r="B4" s="0" t="str">
        <f aca="false">INDEX('All projects'!$AB$2:$AB$119,MATCH($A4,'All projects'!$A$2:$A$119,0))</f>
        <v>Implemented</v>
      </c>
      <c r="C4" s="0" t="str">
        <f aca="false">INDEX('All projects'!$R$2:$R$119,MATCH($A4,'All projects'!$A$2:$A$119,0))</f>
        <v>Certificates &amp; identity</v>
      </c>
      <c r="D4" s="0" t="str">
        <f aca="false">INDEX('All projects'!$X$2:$X$119,MATCH($A4,'All projects'!$A$2:$A$119,0))</f>
        <v>Permissioned</v>
      </c>
      <c r="E4" s="0" t="str">
        <f aca="false">INDEX('All projects'!$T$2:$T$119,MATCH($A4,'All projects'!$A$2:$A$119,0))</f>
        <v>G2B</v>
      </c>
      <c r="F4" s="0" t="str">
        <f aca="false">INDEX('All projects'!$AQ$2:$AQ$119,MATCH($A4,'All projects'!$A$2:$A$119,0))</f>
        <v>Medium (10,000–10 lakh)</v>
      </c>
      <c r="H4" s="0" t="s">
        <v>28</v>
      </c>
      <c r="I4" s="0" t="s">
        <v>73</v>
      </c>
      <c r="J4" s="0" t="s">
        <v>700</v>
      </c>
      <c r="K4" s="0" t="s">
        <v>155</v>
      </c>
      <c r="L4" s="0" t="s">
        <v>197</v>
      </c>
    </row>
    <row r="5" customFormat="false" ht="15" hidden="false" customHeight="false" outlineLevel="0" collapsed="false">
      <c r="A5" s="0" t="s">
        <v>281</v>
      </c>
      <c r="B5" s="0" t="str">
        <f aca="false">INDEX('All projects'!$AB$2:$AB$119,MATCH($A5,'All projects'!$A$2:$A$119,0))</f>
        <v>In progress</v>
      </c>
      <c r="C5" s="0" t="str">
        <f aca="false">INDEX('All projects'!$R$2:$R$119,MATCH($A5,'All projects'!$A$2:$A$119,0))</f>
        <v>Welfare delivery</v>
      </c>
      <c r="D5" s="0" t="str">
        <f aca="false">INDEX('All projects'!$X$2:$X$119,MATCH($A5,'All projects'!$A$2:$A$119,0))</f>
        <v>CBDC (DLT not confirmed)</v>
      </c>
      <c r="E5" s="0" t="str">
        <f aca="false">INDEX('All projects'!$T$2:$T$119,MATCH($A5,'All projects'!$A$2:$A$119,0))</f>
        <v>G2C</v>
      </c>
      <c r="F5" s="0" t="str">
        <f aca="false">INDEX('All projects'!$AQ$2:$AQ$119,MATCH($A5,'All projects'!$A$2:$A$119,0))</f>
        <v>Not reported</v>
      </c>
      <c r="H5" s="0" t="s">
        <v>29</v>
      </c>
      <c r="I5" s="0" t="s">
        <v>74</v>
      </c>
      <c r="J5" s="0" t="s">
        <v>291</v>
      </c>
      <c r="L5" s="0" t="s">
        <v>183</v>
      </c>
    </row>
    <row r="6" customFormat="false" ht="15" hidden="false" customHeight="false" outlineLevel="0" collapsed="false">
      <c r="A6" s="0" t="s">
        <v>300</v>
      </c>
      <c r="B6" s="0" t="str">
        <f aca="false">INDEX('All projects'!$AB$2:$AB$119,MATCH($A6,'All projects'!$A$2:$A$119,0))</f>
        <v>In progress</v>
      </c>
      <c r="C6" s="0" t="str">
        <f aca="false">INDEX('All projects'!$R$2:$R$119,MATCH($A6,'All projects'!$A$2:$A$119,0))</f>
        <v>Platform / ecosystem</v>
      </c>
      <c r="D6" s="0" t="str">
        <f aca="false">INDEX('All projects'!$X$2:$X$119,MATCH($A6,'All projects'!$A$2:$A$119,0))</f>
        <v>Not disclosed</v>
      </c>
      <c r="E6" s="0" t="str">
        <f aca="false">INDEX('All projects'!$T$2:$T$119,MATCH($A6,'All projects'!$A$2:$A$119,0))</f>
        <v>G2G</v>
      </c>
      <c r="F6" s="0" t="str">
        <f aca="false">INDEX('All projects'!$AQ$2:$AQ$119,MATCH($A6,'All projects'!$A$2:$A$119,0))</f>
        <v>Not reported</v>
      </c>
      <c r="H6" s="0" t="s">
        <v>30</v>
      </c>
      <c r="I6" s="0" t="s">
        <v>75</v>
      </c>
      <c r="J6" s="0" t="s">
        <v>60</v>
      </c>
    </row>
    <row r="7" customFormat="false" ht="15" hidden="false" customHeight="false" outlineLevel="0" collapsed="false">
      <c r="A7" s="0" t="s">
        <v>311</v>
      </c>
      <c r="B7" s="0" t="str">
        <f aca="false">INDEX('All projects'!$AB$2:$AB$119,MATCH($A7,'All projects'!$A$2:$A$119,0))</f>
        <v>Implemented</v>
      </c>
      <c r="C7" s="0" t="str">
        <f aca="false">INDEX('All projects'!$R$2:$R$119,MATCH($A7,'All projects'!$A$2:$A$119,0))</f>
        <v>Supply-chain traceability</v>
      </c>
      <c r="D7" s="0" t="str">
        <f aca="false">INDEX('All projects'!$X$2:$X$119,MATCH($A7,'All projects'!$A$2:$A$119,0))</f>
        <v>Not disclosed</v>
      </c>
      <c r="E7" s="0" t="str">
        <f aca="false">INDEX('All projects'!$T$2:$T$119,MATCH($A7,'All projects'!$A$2:$A$119,0))</f>
        <v>G2B</v>
      </c>
      <c r="F7" s="0" t="str">
        <f aca="false">INDEX('All projects'!$AQ$2:$AQ$119,MATCH($A7,'All projects'!$A$2:$A$119,0))</f>
        <v>Not reported</v>
      </c>
      <c r="H7" s="0" t="s">
        <v>31</v>
      </c>
      <c r="I7" s="0" t="s">
        <v>76</v>
      </c>
    </row>
    <row r="8" customFormat="false" ht="15" hidden="false" customHeight="false" outlineLevel="0" collapsed="false">
      <c r="A8" s="0" t="s">
        <v>325</v>
      </c>
      <c r="B8" s="0" t="str">
        <f aca="false">INDEX('All projects'!$AB$2:$AB$119,MATCH($A8,'All projects'!$A$2:$A$119,0))</f>
        <v>Implemented</v>
      </c>
      <c r="C8" s="0" t="str">
        <f aca="false">INDEX('All projects'!$R$2:$R$119,MATCH($A8,'All projects'!$A$2:$A$119,0))</f>
        <v>Certificates &amp; identity</v>
      </c>
      <c r="D8" s="0" t="str">
        <f aca="false">INDEX('All projects'!$X$2:$X$119,MATCH($A8,'All projects'!$A$2:$A$119,0))</f>
        <v>Not disclosed</v>
      </c>
      <c r="E8" s="0" t="str">
        <f aca="false">INDEX('All projects'!$T$2:$T$119,MATCH($A8,'All projects'!$A$2:$A$119,0))</f>
        <v>G2C</v>
      </c>
      <c r="F8" s="0" t="str">
        <f aca="false">INDEX('All projects'!$AQ$2:$AQ$119,MATCH($A8,'All projects'!$A$2:$A$119,0))</f>
        <v>Small (&lt;10,000)</v>
      </c>
      <c r="I8" s="0" t="s">
        <v>77</v>
      </c>
    </row>
    <row r="9" customFormat="false" ht="15" hidden="false" customHeight="false" outlineLevel="0" collapsed="false">
      <c r="A9" s="0" t="s">
        <v>674</v>
      </c>
      <c r="B9" s="0" t="str">
        <f aca="false">INDEX('All projects'!$AB$2:$AB$119,MATCH($A9,'All projects'!$A$2:$A$119,0))</f>
        <v>In progress</v>
      </c>
      <c r="C9" s="0" t="str">
        <f aca="false">INDEX('All projects'!$R$2:$R$119,MATCH($A9,'All projects'!$A$2:$A$119,0))</f>
        <v>Land / property registry</v>
      </c>
      <c r="D9" s="0" t="str">
        <f aca="false">INDEX('All projects'!$X$2:$X$119,MATCH($A9,'All projects'!$A$2:$A$119,0))</f>
        <v>Not disclosed</v>
      </c>
      <c r="E9" s="0" t="str">
        <f aca="false">INDEX('All projects'!$T$2:$T$119,MATCH($A9,'All projects'!$A$2:$A$119,0))</f>
        <v>G2C</v>
      </c>
      <c r="F9" s="0" t="str">
        <f aca="false">INDEX('All projects'!$AQ$2:$AQ$119,MATCH($A9,'All projects'!$A$2:$A$119,0))</f>
        <v>Large (≥10 lakh)</v>
      </c>
      <c r="I9" s="0" t="s">
        <v>78</v>
      </c>
    </row>
    <row r="10" customFormat="false" ht="15" hidden="false" customHeight="false" outlineLevel="0" collapsed="false">
      <c r="A10" s="0" t="s">
        <v>692</v>
      </c>
      <c r="B10" s="0" t="str">
        <f aca="false">INDEX('All projects'!$AB$2:$AB$119,MATCH($A10,'All projects'!$A$2:$A$119,0))</f>
        <v>Pilot completed</v>
      </c>
      <c r="C10" s="0" t="str">
        <f aca="false">INDEX('All projects'!$R$2:$R$119,MATCH($A10,'All projects'!$A$2:$A$119,0))</f>
        <v>E-voting</v>
      </c>
      <c r="D10" s="0" t="str">
        <f aca="false">INDEX('All projects'!$X$2:$X$119,MATCH($A10,'All projects'!$A$2:$A$119,0))</f>
        <v>Hybrid (private + public anchor)</v>
      </c>
      <c r="E10" s="0" t="str">
        <f aca="false">INDEX('All projects'!$T$2:$T$119,MATCH($A10,'All projects'!$A$2:$A$119,0))</f>
        <v>G2C</v>
      </c>
      <c r="F10" s="0" t="str">
        <f aca="false">INDEX('All projects'!$AQ$2:$AQ$119,MATCH($A10,'All projects'!$A$2:$A$119,0))</f>
        <v>Medium (10,000–10 lakh)</v>
      </c>
      <c r="I10" s="0" t="s">
        <v>79</v>
      </c>
    </row>
    <row r="11" customFormat="false" ht="15" hidden="false" customHeight="false" outlineLevel="0" collapsed="false">
      <c r="A11" s="0" t="s">
        <v>1305</v>
      </c>
      <c r="B11" s="0" t="str">
        <f aca="false">INDEX('All projects'!$AB$2:$AB$119,MATCH($A11,'All projects'!$A$2:$A$119,0))</f>
        <v>Implemented</v>
      </c>
      <c r="C11" s="0" t="str">
        <f aca="false">INDEX('All projects'!$R$2:$R$119,MATCH($A11,'All projects'!$A$2:$A$119,0))</f>
        <v>Land / property registry</v>
      </c>
      <c r="D11" s="0" t="str">
        <f aca="false">INDEX('All projects'!$X$2:$X$119,MATCH($A11,'All projects'!$A$2:$A$119,0))</f>
        <v>Public</v>
      </c>
      <c r="E11" s="0" t="str">
        <f aca="false">INDEX('All projects'!$T$2:$T$119,MATCH($A11,'All projects'!$A$2:$A$119,0))</f>
        <v>G2C</v>
      </c>
      <c r="F11" s="0" t="str">
        <f aca="false">INDEX('All projects'!$AQ$2:$AQ$119,MATCH($A11,'All projects'!$A$2:$A$119,0))</f>
        <v>Medium (10,000–10 lakh)</v>
      </c>
      <c r="I11" s="0" t="s">
        <v>80</v>
      </c>
    </row>
    <row r="12" customFormat="false" ht="15" hidden="false" customHeight="false" outlineLevel="0" collapsed="false">
      <c r="A12" s="0" t="s">
        <v>770</v>
      </c>
      <c r="B12" s="0" t="str">
        <f aca="false">INDEX('All projects'!$AB$2:$AB$119,MATCH($A12,'All projects'!$A$2:$A$119,0))</f>
        <v>Unclear (no recent update)</v>
      </c>
      <c r="C12" s="0" t="str">
        <f aca="false">INDEX('All projects'!$R$2:$R$119,MATCH($A12,'All projects'!$A$2:$A$119,0))</f>
        <v>Certificates &amp; identity</v>
      </c>
      <c r="D12" s="0" t="str">
        <f aca="false">INDEX('All projects'!$X$2:$X$119,MATCH($A12,'All projects'!$A$2:$A$119,0))</f>
        <v>Public</v>
      </c>
      <c r="E12" s="0" t="str">
        <f aca="false">INDEX('All projects'!$T$2:$T$119,MATCH($A12,'All projects'!$A$2:$A$119,0))</f>
        <v>G2C</v>
      </c>
      <c r="F12" s="0" t="str">
        <f aca="false">INDEX('All projects'!$AQ$2:$AQ$119,MATCH($A12,'All projects'!$A$2:$A$119,0))</f>
        <v>Medium (10,000–10 lakh)</v>
      </c>
      <c r="I12" s="0" t="s">
        <v>81</v>
      </c>
    </row>
    <row r="13" customFormat="false" ht="15" hidden="false" customHeight="false" outlineLevel="0" collapsed="false">
      <c r="A13" s="0" t="s">
        <v>821</v>
      </c>
      <c r="B13" s="0" t="str">
        <f aca="false">INDEX('All projects'!$AB$2:$AB$119,MATCH($A13,'All projects'!$A$2:$A$119,0))</f>
        <v>Implemented</v>
      </c>
      <c r="C13" s="0" t="str">
        <f aca="false">INDEX('All projects'!$R$2:$R$119,MATCH($A13,'All projects'!$A$2:$A$119,0))</f>
        <v>Land / property registry</v>
      </c>
      <c r="D13" s="0" t="str">
        <f aca="false">INDEX('All projects'!$X$2:$X$119,MATCH($A13,'All projects'!$A$2:$A$119,0))</f>
        <v>Permissioned</v>
      </c>
      <c r="E13" s="0" t="str">
        <f aca="false">INDEX('All projects'!$T$2:$T$119,MATCH($A13,'All projects'!$A$2:$A$119,0))</f>
        <v>G2C</v>
      </c>
      <c r="F13" s="0" t="str">
        <f aca="false">INDEX('All projects'!$AQ$2:$AQ$119,MATCH($A13,'All projects'!$A$2:$A$119,0))</f>
        <v>Small (&lt;10,000)</v>
      </c>
      <c r="I13" s="0" t="s">
        <v>82</v>
      </c>
    </row>
    <row r="14" customFormat="false" ht="15" hidden="false" customHeight="false" outlineLevel="0" collapsed="false">
      <c r="A14" s="0" t="s">
        <v>890</v>
      </c>
      <c r="B14" s="0" t="str">
        <f aca="false">INDEX('All projects'!$AB$2:$AB$119,MATCH($A14,'All projects'!$A$2:$A$119,0))</f>
        <v>Unclear (no recent update)</v>
      </c>
      <c r="C14" s="0" t="str">
        <f aca="false">INDEX('All projects'!$R$2:$R$119,MATCH($A14,'All projects'!$A$2:$A$119,0))</f>
        <v>Supply-chain traceability</v>
      </c>
      <c r="D14" s="0" t="str">
        <f aca="false">INDEX('All projects'!$X$2:$X$119,MATCH($A14,'All projects'!$A$2:$A$119,0))</f>
        <v>Not disclosed</v>
      </c>
      <c r="E14" s="0" t="str">
        <f aca="false">INDEX('All projects'!$T$2:$T$119,MATCH($A14,'All projects'!$A$2:$A$119,0))</f>
        <v>G2G</v>
      </c>
      <c r="F14" s="0" t="str">
        <f aca="false">INDEX('All projects'!$AQ$2:$AQ$119,MATCH($A14,'All projects'!$A$2:$A$119,0))</f>
        <v>Not reported</v>
      </c>
      <c r="I14" s="0" t="s">
        <v>83</v>
      </c>
    </row>
    <row r="15" customFormat="false" ht="15" hidden="false" customHeight="false" outlineLevel="0" collapsed="false">
      <c r="A15" s="0" t="s">
        <v>916</v>
      </c>
      <c r="B15" s="0" t="str">
        <f aca="false">INDEX('All projects'!$AB$2:$AB$119,MATCH($A15,'All projects'!$A$2:$A$119,0))</f>
        <v>In progress</v>
      </c>
      <c r="C15" s="0" t="str">
        <f aca="false">INDEX('All projects'!$R$2:$R$119,MATCH($A15,'All projects'!$A$2:$A$119,0))</f>
        <v>Platform / ecosystem</v>
      </c>
      <c r="D15" s="0" t="str">
        <f aca="false">INDEX('All projects'!$X$2:$X$119,MATCH($A15,'All projects'!$A$2:$A$119,0))</f>
        <v>Not disclosed</v>
      </c>
      <c r="E15" s="0" t="str">
        <f aca="false">INDEX('All projects'!$T$2:$T$119,MATCH($A15,'All projects'!$A$2:$A$119,0))</f>
        <v>G2G</v>
      </c>
      <c r="F15" s="0" t="str">
        <f aca="false">INDEX('All projects'!$AQ$2:$AQ$119,MATCH($A15,'All projects'!$A$2:$A$119,0))</f>
        <v>Not reported</v>
      </c>
    </row>
    <row r="16" customFormat="false" ht="15" hidden="false" customHeight="false" outlineLevel="0" collapsed="false">
      <c r="A16" s="0" t="s">
        <v>942</v>
      </c>
      <c r="B16" s="0" t="str">
        <f aca="false">INDEX('All projects'!$AB$2:$AB$119,MATCH($A16,'All projects'!$A$2:$A$119,0))</f>
        <v>Unclear (no recent update)</v>
      </c>
      <c r="C16" s="0" t="str">
        <f aca="false">INDEX('All projects'!$R$2:$R$119,MATCH($A16,'All projects'!$A$2:$A$119,0))</f>
        <v>Platform / ecosystem</v>
      </c>
      <c r="D16" s="0" t="str">
        <f aca="false">INDEX('All projects'!$X$2:$X$119,MATCH($A16,'All projects'!$A$2:$A$119,0))</f>
        <v>Not disclosed</v>
      </c>
      <c r="E16" s="0" t="str">
        <f aca="false">INDEX('All projects'!$T$2:$T$119,MATCH($A16,'All projects'!$A$2:$A$119,0))</f>
        <v>G2G</v>
      </c>
      <c r="F16" s="0" t="str">
        <f aca="false">INDEX('All projects'!$AQ$2:$AQ$119,MATCH($A16,'All projects'!$A$2:$A$119,0))</f>
        <v>Not reported</v>
      </c>
    </row>
    <row r="17" customFormat="false" ht="15" hidden="false" customHeight="false" outlineLevel="0" collapsed="false">
      <c r="A17" s="0" t="s">
        <v>1317</v>
      </c>
      <c r="B17" s="0" t="str">
        <f aca="false">INDEX('All projects'!$AB$2:$AB$119,MATCH($A17,'All projects'!$A$2:$A$119,0))</f>
        <v>Pilot completed</v>
      </c>
      <c r="C17" s="0" t="str">
        <f aca="false">INDEX('All projects'!$R$2:$R$119,MATCH($A17,'All projects'!$A$2:$A$119,0))</f>
        <v>Certificates &amp; identity</v>
      </c>
      <c r="D17" s="0" t="str">
        <f aca="false">INDEX('All projects'!$X$2:$X$119,MATCH($A17,'All projects'!$A$2:$A$119,0))</f>
        <v>Public</v>
      </c>
      <c r="E17" s="0" t="str">
        <f aca="false">INDEX('All projects'!$T$2:$T$119,MATCH($A17,'All projects'!$A$2:$A$119,0))</f>
        <v>G2C</v>
      </c>
      <c r="F17" s="0" t="str">
        <f aca="false">INDEX('All projects'!$AQ$2:$AQ$119,MATCH($A17,'All projects'!$A$2:$A$119,0))</f>
        <v>Not reported</v>
      </c>
    </row>
    <row r="18" customFormat="false" ht="15" hidden="false" customHeight="false" outlineLevel="0" collapsed="false">
      <c r="A18" s="0" t="s">
        <v>1351</v>
      </c>
      <c r="B18" s="0" t="str">
        <f aca="false">INDEX('All projects'!$AB$2:$AB$119,MATCH($A18,'All projects'!$A$2:$A$119,0))</f>
        <v>Proposed / Planned</v>
      </c>
      <c r="C18" s="0" t="str">
        <f aca="false">INDEX('All projects'!$R$2:$R$119,MATCH($A18,'All projects'!$A$2:$A$119,0))</f>
        <v>Land / property registry</v>
      </c>
      <c r="D18" s="0" t="str">
        <f aca="false">INDEX('All projects'!$X$2:$X$119,MATCH($A18,'All projects'!$A$2:$A$119,0))</f>
        <v>Public</v>
      </c>
      <c r="E18" s="0" t="str">
        <f aca="false">INDEX('All projects'!$T$2:$T$119,MATCH($A18,'All projects'!$A$2:$A$119,0))</f>
        <v>G2C</v>
      </c>
      <c r="F18" s="0" t="str">
        <f aca="false">INDEX('All projects'!$AQ$2:$AQ$119,MATCH($A18,'All projects'!$A$2:$A$119,0))</f>
        <v>Not reported</v>
      </c>
    </row>
    <row r="19" customFormat="false" ht="15" hidden="false" customHeight="false" outlineLevel="0" collapsed="false">
      <c r="A19" s="0" t="s">
        <v>993</v>
      </c>
      <c r="B19" s="0" t="str">
        <f aca="false">INDEX('All projects'!$AB$2:$AB$119,MATCH($A19,'All projects'!$A$2:$A$119,0))</f>
        <v>Proposed / Planned</v>
      </c>
      <c r="C19" s="0" t="str">
        <f aca="false">INDEX('All projects'!$R$2:$R$119,MATCH($A19,'All projects'!$A$2:$A$119,0))</f>
        <v>Tokenisation / NFTs</v>
      </c>
      <c r="D19" s="0" t="str">
        <f aca="false">INDEX('All projects'!$X$2:$X$119,MATCH($A19,'All projects'!$A$2:$A$119,0))</f>
        <v>Not disclosed</v>
      </c>
      <c r="E19" s="0" t="str">
        <f aca="false">INDEX('All projects'!$T$2:$T$119,MATCH($A19,'All projects'!$A$2:$A$119,0))</f>
        <v>G2B</v>
      </c>
      <c r="F19" s="0" t="str">
        <f aca="false">INDEX('All projects'!$AQ$2:$AQ$119,MATCH($A19,'All projects'!$A$2:$A$119,0))</f>
        <v>Not reported</v>
      </c>
    </row>
    <row r="20" customFormat="false" ht="15" hidden="false" customHeight="false" outlineLevel="0" collapsed="false">
      <c r="A20" s="0" t="s">
        <v>1327</v>
      </c>
      <c r="B20" s="0" t="str">
        <f aca="false">INDEX('All projects'!$AB$2:$AB$119,MATCH($A20,'All projects'!$A$2:$A$119,0))</f>
        <v>Implemented</v>
      </c>
      <c r="C20" s="0" t="str">
        <f aca="false">INDEX('All projects'!$R$2:$R$119,MATCH($A20,'All projects'!$A$2:$A$119,0))</f>
        <v>Records &amp; audit trail</v>
      </c>
      <c r="D20" s="0" t="str">
        <f aca="false">INDEX('All projects'!$X$2:$X$119,MATCH($A20,'All projects'!$A$2:$A$119,0))</f>
        <v>Public</v>
      </c>
      <c r="E20" s="0" t="str">
        <f aca="false">INDEX('All projects'!$T$2:$T$119,MATCH($A20,'All projects'!$A$2:$A$119,0))</f>
        <v>G2C</v>
      </c>
      <c r="F20" s="0" t="str">
        <f aca="false">INDEX('All projects'!$AQ$2:$AQ$119,MATCH($A20,'All projects'!$A$2:$A$119,0))</f>
        <v>Large (≥10 lakh)</v>
      </c>
    </row>
    <row r="21" customFormat="false" ht="15" hidden="false" customHeight="false" outlineLevel="0" collapsed="false">
      <c r="A21" s="0" t="s">
        <v>1048</v>
      </c>
      <c r="B21" s="0" t="str">
        <f aca="false">INDEX('All projects'!$AB$2:$AB$119,MATCH($A21,'All projects'!$A$2:$A$119,0))</f>
        <v>In progress</v>
      </c>
      <c r="C21" s="0" t="str">
        <f aca="false">INDEX('All projects'!$R$2:$R$119,MATCH($A21,'All projects'!$A$2:$A$119,0))</f>
        <v>Welfare delivery</v>
      </c>
      <c r="D21" s="0" t="str">
        <f aca="false">INDEX('All projects'!$X$2:$X$119,MATCH($A21,'All projects'!$A$2:$A$119,0))</f>
        <v>Not disclosed</v>
      </c>
      <c r="E21" s="0" t="str">
        <f aca="false">INDEX('All projects'!$T$2:$T$119,MATCH($A21,'All projects'!$A$2:$A$119,0))</f>
        <v>G2G</v>
      </c>
      <c r="F21" s="0" t="str">
        <f aca="false">INDEX('All projects'!$AQ$2:$AQ$119,MATCH($A21,'All projects'!$A$2:$A$119,0))</f>
        <v>Not reported</v>
      </c>
    </row>
    <row r="22" customFormat="false" ht="15" hidden="false" customHeight="false" outlineLevel="0" collapsed="false">
      <c r="A22" s="0" t="s">
        <v>1056</v>
      </c>
      <c r="B22" s="0" t="str">
        <f aca="false">INDEX('All projects'!$AB$2:$AB$119,MATCH($A22,'All projects'!$A$2:$A$119,0))</f>
        <v>Proposed / Planned</v>
      </c>
      <c r="C22" s="0" t="str">
        <f aca="false">INDEX('All projects'!$R$2:$R$119,MATCH($A22,'All projects'!$A$2:$A$119,0))</f>
        <v>Supply-chain traceability</v>
      </c>
      <c r="D22" s="0" t="str">
        <f aca="false">INDEX('All projects'!$X$2:$X$119,MATCH($A22,'All projects'!$A$2:$A$119,0))</f>
        <v>Not disclosed</v>
      </c>
      <c r="E22" s="0" t="str">
        <f aca="false">INDEX('All projects'!$T$2:$T$119,MATCH($A22,'All projects'!$A$2:$A$119,0))</f>
        <v>G2B</v>
      </c>
      <c r="F22" s="0" t="str">
        <f aca="false">INDEX('All projects'!$AQ$2:$AQ$119,MATCH($A22,'All projects'!$A$2:$A$119,0))</f>
        <v>Not reported</v>
      </c>
    </row>
    <row r="23" customFormat="false" ht="15" hidden="false" customHeight="false" outlineLevel="0" collapsed="false">
      <c r="A23" s="0" t="s">
        <v>1076</v>
      </c>
      <c r="B23" s="0" t="str">
        <f aca="false">INDEX('All projects'!$AB$2:$AB$119,MATCH($A23,'All projects'!$A$2:$A$119,0))</f>
        <v>In progress</v>
      </c>
      <c r="C23" s="0" t="str">
        <f aca="false">INDEX('All projects'!$R$2:$R$119,MATCH($A23,'All projects'!$A$2:$A$119,0))</f>
        <v>Platform / ecosystem</v>
      </c>
      <c r="D23" s="0" t="str">
        <f aca="false">INDEX('All projects'!$X$2:$X$119,MATCH($A23,'All projects'!$A$2:$A$119,0))</f>
        <v>Not disclosed</v>
      </c>
      <c r="E23" s="0" t="str">
        <f aca="false">INDEX('All projects'!$T$2:$T$119,MATCH($A23,'All projects'!$A$2:$A$119,0))</f>
        <v>G2G</v>
      </c>
      <c r="F23" s="0" t="str">
        <f aca="false">INDEX('All projects'!$AQ$2:$AQ$119,MATCH($A23,'All projects'!$A$2:$A$119,0))</f>
        <v>Not reported</v>
      </c>
    </row>
    <row r="24" customFormat="false" ht="15" hidden="false" customHeight="false" outlineLevel="0" collapsed="false">
      <c r="A24" s="0" t="s">
        <v>1098</v>
      </c>
      <c r="B24" s="0" t="str">
        <f aca="false">INDEX('All projects'!$AB$2:$AB$119,MATCH($A24,'All projects'!$A$2:$A$119,0))</f>
        <v>Implemented</v>
      </c>
      <c r="C24" s="0" t="str">
        <f aca="false">INDEX('All projects'!$R$2:$R$119,MATCH($A24,'All projects'!$A$2:$A$119,0))</f>
        <v>Platform / ecosystem</v>
      </c>
      <c r="D24" s="0" t="str">
        <f aca="false">INDEX('All projects'!$X$2:$X$119,MATCH($A24,'All projects'!$A$2:$A$119,0))</f>
        <v>Not disclosed</v>
      </c>
      <c r="E24" s="0" t="str">
        <f aca="false">INDEX('All projects'!$T$2:$T$119,MATCH($A24,'All projects'!$A$2:$A$119,0))</f>
        <v>G2C</v>
      </c>
      <c r="F24" s="0" t="str">
        <f aca="false">INDEX('All projects'!$AQ$2:$AQ$119,MATCH($A24,'All projects'!$A$2:$A$119,0))</f>
        <v>Not reported</v>
      </c>
    </row>
    <row r="25" customFormat="false" ht="15" hidden="false" customHeight="false" outlineLevel="0" collapsed="false">
      <c r="A25" s="0" t="s">
        <v>1111</v>
      </c>
      <c r="B25" s="0" t="str">
        <f aca="false">INDEX('All projects'!$AB$2:$AB$119,MATCH($A25,'All projects'!$A$2:$A$119,0))</f>
        <v>Implemented</v>
      </c>
      <c r="C25" s="0" t="str">
        <f aca="false">INDEX('All projects'!$R$2:$R$119,MATCH($A25,'All projects'!$A$2:$A$119,0))</f>
        <v>Records &amp; audit trail</v>
      </c>
      <c r="D25" s="0" t="str">
        <f aca="false">INDEX('All projects'!$X$2:$X$119,MATCH($A25,'All projects'!$A$2:$A$119,0))</f>
        <v>Public</v>
      </c>
      <c r="E25" s="0" t="str">
        <f aca="false">INDEX('All projects'!$T$2:$T$119,MATCH($A25,'All projects'!$A$2:$A$119,0))</f>
        <v>G2C</v>
      </c>
      <c r="F25" s="0" t="str">
        <f aca="false">INDEX('All projects'!$AQ$2:$AQ$119,MATCH($A25,'All projects'!$A$2:$A$119,0))</f>
        <v>Not reported</v>
      </c>
    </row>
    <row r="26" customFormat="false" ht="15" hidden="false" customHeight="false" outlineLevel="0" collapsed="false">
      <c r="A26" s="0" t="s">
        <v>1126</v>
      </c>
      <c r="B26" s="0" t="str">
        <f aca="false">INDEX('All projects'!$AB$2:$AB$119,MATCH($A26,'All projects'!$A$2:$A$119,0))</f>
        <v>Implemented</v>
      </c>
      <c r="C26" s="0" t="str">
        <f aca="false">INDEX('All projects'!$R$2:$R$119,MATCH($A26,'All projects'!$A$2:$A$119,0))</f>
        <v>Platform / ecosystem</v>
      </c>
      <c r="D26" s="0" t="str">
        <f aca="false">INDEX('All projects'!$X$2:$X$119,MATCH($A26,'All projects'!$A$2:$A$119,0))</f>
        <v>Not disclosed</v>
      </c>
      <c r="E26" s="0" t="str">
        <f aca="false">INDEX('All projects'!$T$2:$T$119,MATCH($A26,'All projects'!$A$2:$A$119,0))</f>
        <v>G2B</v>
      </c>
      <c r="F26" s="0" t="str">
        <f aca="false">INDEX('All projects'!$AQ$2:$AQ$119,MATCH($A26,'All projects'!$A$2:$A$119,0))</f>
        <v>Not reported</v>
      </c>
    </row>
    <row r="27" customFormat="false" ht="15" hidden="false" customHeight="false" outlineLevel="0" collapsed="false">
      <c r="A27" s="0" t="s">
        <v>1137</v>
      </c>
      <c r="B27" s="0" t="str">
        <f aca="false">INDEX('All projects'!$AB$2:$AB$119,MATCH($A27,'All projects'!$A$2:$A$119,0))</f>
        <v>Implemented</v>
      </c>
      <c r="C27" s="0" t="str">
        <f aca="false">INDEX('All projects'!$R$2:$R$119,MATCH($A27,'All projects'!$A$2:$A$119,0))</f>
        <v>Platform / ecosystem</v>
      </c>
      <c r="D27" s="0" t="str">
        <f aca="false">INDEX('All projects'!$X$2:$X$119,MATCH($A27,'All projects'!$A$2:$A$119,0))</f>
        <v>Not disclosed</v>
      </c>
      <c r="E27" s="0" t="str">
        <f aca="false">INDEX('All projects'!$T$2:$T$119,MATCH($A27,'All projects'!$A$2:$A$119,0))</f>
        <v>G2B</v>
      </c>
      <c r="F27" s="0" t="str">
        <f aca="false">INDEX('All projects'!$AQ$2:$AQ$119,MATCH($A27,'All projects'!$A$2:$A$119,0))</f>
        <v>Not reported</v>
      </c>
    </row>
    <row r="28" customFormat="false" ht="15" hidden="false" customHeight="false" outlineLevel="0" collapsed="false">
      <c r="A28" s="0" t="s">
        <v>1165</v>
      </c>
      <c r="B28" s="0" t="str">
        <f aca="false">INDEX('All projects'!$AB$2:$AB$119,MATCH($A28,'All projects'!$A$2:$A$119,0))</f>
        <v>Unclear (no recent update)</v>
      </c>
      <c r="C28" s="0" t="str">
        <f aca="false">INDEX('All projects'!$R$2:$R$119,MATCH($A28,'All projects'!$A$2:$A$119,0))</f>
        <v>Certificates &amp; identity</v>
      </c>
      <c r="D28" s="0" t="str">
        <f aca="false">INDEX('All projects'!$X$2:$X$119,MATCH($A28,'All projects'!$A$2:$A$119,0))</f>
        <v>Not disclosed</v>
      </c>
      <c r="E28" s="0" t="str">
        <f aca="false">INDEX('All projects'!$T$2:$T$119,MATCH($A28,'All projects'!$A$2:$A$119,0))</f>
        <v>G2C</v>
      </c>
      <c r="F28" s="0" t="str">
        <f aca="false">INDEX('All projects'!$AQ$2:$AQ$119,MATCH($A28,'All projects'!$A$2:$A$119,0))</f>
        <v>Not reported</v>
      </c>
    </row>
    <row r="29" customFormat="false" ht="15" hidden="false" customHeight="false" outlineLevel="0" collapsed="false">
      <c r="A29" s="0" t="s">
        <v>1268</v>
      </c>
      <c r="B29" s="0" t="str">
        <f aca="false">INDEX('All projects'!$AB$2:$AB$119,MATCH($A29,'All projects'!$A$2:$A$119,0))</f>
        <v>Implemented</v>
      </c>
      <c r="C29" s="0" t="str">
        <f aca="false">INDEX('All projects'!$R$2:$R$119,MATCH($A29,'All projects'!$A$2:$A$119,0))</f>
        <v>Certificates &amp; identity</v>
      </c>
      <c r="D29" s="0" t="str">
        <f aca="false">INDEX('All projects'!$X$2:$X$119,MATCH($A29,'All projects'!$A$2:$A$119,0))</f>
        <v>Permissioned</v>
      </c>
      <c r="E29" s="0" t="str">
        <f aca="false">INDEX('All projects'!$T$2:$T$119,MATCH($A29,'All projects'!$A$2:$A$119,0))</f>
        <v>G2C</v>
      </c>
      <c r="F29" s="0" t="str">
        <f aca="false">INDEX('All projects'!$AQ$2:$AQ$119,MATCH($A29,'All projects'!$A$2:$A$119,0))</f>
        <v>Medium (10,000–10 lakh)</v>
      </c>
    </row>
    <row r="30" customFormat="false" ht="15" hidden="false" customHeight="false" outlineLevel="0" collapsed="false">
      <c r="A30" s="0" t="s">
        <v>1290</v>
      </c>
      <c r="B30" s="0" t="str">
        <f aca="false">INDEX('All projects'!$AB$2:$AB$119,MATCH($A30,'All projects'!$A$2:$A$119,0))</f>
        <v>Implemented</v>
      </c>
      <c r="C30" s="0" t="str">
        <f aca="false">INDEX('All projects'!$R$2:$R$119,MATCH($A30,'All projects'!$A$2:$A$119,0))</f>
        <v>Certificates &amp; identity</v>
      </c>
      <c r="D30" s="0" t="str">
        <f aca="false">INDEX('All projects'!$X$2:$X$119,MATCH($A30,'All projects'!$A$2:$A$119,0))</f>
        <v>Permissioned</v>
      </c>
      <c r="E30" s="0" t="str">
        <f aca="false">INDEX('All projects'!$T$2:$T$119,MATCH($A30,'All projects'!$A$2:$A$119,0))</f>
        <v>G2C</v>
      </c>
      <c r="F30" s="0" t="str">
        <f aca="false">INDEX('All projects'!$AQ$2:$AQ$119,MATCH($A30,'All projects'!$A$2:$A$119,0))</f>
        <v>Small (&lt;10,000)</v>
      </c>
    </row>
    <row r="31" customFormat="false" ht="15" hidden="false" customHeight="false" outlineLevel="0" collapsed="false">
      <c r="A31" s="0" t="s">
        <v>387</v>
      </c>
      <c r="B31" s="0" t="str">
        <f aca="false">INDEX('All projects'!$AB$2:$AB$119,MATCH($A31,'All projects'!$A$2:$A$119,0))</f>
        <v>In progress</v>
      </c>
      <c r="C31" s="0" t="str">
        <f aca="false">INDEX('All projects'!$R$2:$R$119,MATCH($A31,'All projects'!$A$2:$A$119,0))</f>
        <v>CBDC / digital payments</v>
      </c>
      <c r="D31" s="0" t="str">
        <f aca="false">INDEX('All projects'!$X$2:$X$119,MATCH($A31,'All projects'!$A$2:$A$119,0))</f>
        <v>CBDC (DLT not confirmed)</v>
      </c>
      <c r="E31" s="0" t="str">
        <f aca="false">INDEX('All projects'!$T$2:$T$119,MATCH($A31,'All projects'!$A$2:$A$119,0))</f>
        <v>G2C</v>
      </c>
      <c r="F31" s="0" t="str">
        <f aca="false">INDEX('All projects'!$AQ$2:$AQ$119,MATCH($A31,'All projects'!$A$2:$A$119,0))</f>
        <v>Large (≥10 lakh)</v>
      </c>
    </row>
    <row r="32" customFormat="false" ht="15" hidden="false" customHeight="false" outlineLevel="0" collapsed="false">
      <c r="A32" s="0" t="s">
        <v>406</v>
      </c>
      <c r="B32" s="0" t="str">
        <f aca="false">INDEX('All projects'!$AB$2:$AB$119,MATCH($A32,'All projects'!$A$2:$A$119,0))</f>
        <v>Pilot completed</v>
      </c>
      <c r="C32" s="0" t="str">
        <f aca="false">INDEX('All projects'!$R$2:$R$119,MATCH($A32,'All projects'!$A$2:$A$119,0))</f>
        <v>Financial infrastructure</v>
      </c>
      <c r="D32" s="0" t="str">
        <f aca="false">INDEX('All projects'!$X$2:$X$119,MATCH($A32,'All projects'!$A$2:$A$119,0))</f>
        <v>Permissioned</v>
      </c>
      <c r="E32" s="0" t="str">
        <f aca="false">INDEX('All projects'!$T$2:$T$119,MATCH($A32,'All projects'!$A$2:$A$119,0))</f>
        <v>G2B</v>
      </c>
      <c r="F32" s="0" t="str">
        <f aca="false">INDEX('All projects'!$AQ$2:$AQ$119,MATCH($A32,'All projects'!$A$2:$A$119,0))</f>
        <v>Not reported</v>
      </c>
    </row>
    <row r="33" customFormat="false" ht="15" hidden="false" customHeight="false" outlineLevel="0" collapsed="false">
      <c r="A33" s="0" t="s">
        <v>421</v>
      </c>
      <c r="B33" s="0" t="str">
        <f aca="false">INDEX('All projects'!$AB$2:$AB$119,MATCH($A33,'All projects'!$A$2:$A$119,0))</f>
        <v>Pilot completed</v>
      </c>
      <c r="C33" s="0" t="str">
        <f aca="false">INDEX('All projects'!$R$2:$R$119,MATCH($A33,'All projects'!$A$2:$A$119,0))</f>
        <v>Financial infrastructure</v>
      </c>
      <c r="D33" s="0" t="str">
        <f aca="false">INDEX('All projects'!$X$2:$X$119,MATCH($A33,'All projects'!$A$2:$A$119,0))</f>
        <v>Not disclosed</v>
      </c>
      <c r="E33" s="0" t="str">
        <f aca="false">INDEX('All projects'!$T$2:$T$119,MATCH($A33,'All projects'!$A$2:$A$119,0))</f>
        <v>G2B</v>
      </c>
      <c r="F33" s="0" t="str">
        <f aca="false">INDEX('All projects'!$AQ$2:$AQ$119,MATCH($A33,'All projects'!$A$2:$A$119,0))</f>
        <v>Not reported</v>
      </c>
    </row>
    <row r="34" customFormat="false" ht="15" hidden="false" customHeight="false" outlineLevel="0" collapsed="false">
      <c r="A34" s="0" t="s">
        <v>466</v>
      </c>
      <c r="B34" s="0" t="str">
        <f aca="false">INDEX('All projects'!$AB$2:$AB$119,MATCH($A34,'All projects'!$A$2:$A$119,0))</f>
        <v>Pilot completed</v>
      </c>
      <c r="C34" s="0" t="str">
        <f aca="false">INDEX('All projects'!$R$2:$R$119,MATCH($A34,'All projects'!$A$2:$A$119,0))</f>
        <v>E-voting</v>
      </c>
      <c r="D34" s="0" t="str">
        <f aca="false">INDEX('All projects'!$X$2:$X$119,MATCH($A34,'All projects'!$A$2:$A$119,0))</f>
        <v>Permissioned</v>
      </c>
      <c r="E34" s="0" t="str">
        <f aca="false">INDEX('All projects'!$T$2:$T$119,MATCH($A34,'All projects'!$A$2:$A$119,0))</f>
        <v>G2C</v>
      </c>
      <c r="F34" s="0" t="str">
        <f aca="false">INDEX('All projects'!$AQ$2:$AQ$119,MATCH($A34,'All projects'!$A$2:$A$119,0))</f>
        <v>Not reported</v>
      </c>
    </row>
    <row r="35" customFormat="false" ht="15" hidden="false" customHeight="false" outlineLevel="0" collapsed="false">
      <c r="A35" s="0" t="s">
        <v>547</v>
      </c>
      <c r="B35" s="0" t="str">
        <f aca="false">INDEX('All projects'!$AB$2:$AB$119,MATCH($A35,'All projects'!$A$2:$A$119,0))</f>
        <v>Implemented</v>
      </c>
      <c r="C35" s="0" t="str">
        <f aca="false">INDEX('All projects'!$R$2:$R$119,MATCH($A35,'All projects'!$A$2:$A$119,0))</f>
        <v>Tokenisation / NFTs</v>
      </c>
      <c r="D35" s="0" t="str">
        <f aca="false">INDEX('All projects'!$X$2:$X$119,MATCH($A35,'All projects'!$A$2:$A$119,0))</f>
        <v>Public</v>
      </c>
      <c r="E35" s="0" t="str">
        <f aca="false">INDEX('All projects'!$T$2:$T$119,MATCH($A35,'All projects'!$A$2:$A$119,0))</f>
        <v>G2C</v>
      </c>
      <c r="F35" s="0" t="str">
        <f aca="false">INDEX('All projects'!$AQ$2:$AQ$119,MATCH($A35,'All projects'!$A$2:$A$119,0))</f>
        <v>Not reported</v>
      </c>
    </row>
    <row r="36" customFormat="false" ht="15" hidden="false" customHeight="false" outlineLevel="0" collapsed="false">
      <c r="A36" s="0" t="s">
        <v>601</v>
      </c>
      <c r="B36" s="0" t="str">
        <f aca="false">INDEX('All projects'!$AB$2:$AB$119,MATCH($A36,'All projects'!$A$2:$A$119,0))</f>
        <v>In progress</v>
      </c>
      <c r="C36" s="0" t="str">
        <f aca="false">INDEX('All projects'!$R$2:$R$119,MATCH($A36,'All projects'!$A$2:$A$119,0))</f>
        <v>Platform / ecosystem</v>
      </c>
      <c r="D36" s="0" t="str">
        <f aca="false">INDEX('All projects'!$X$2:$X$119,MATCH($A36,'All projects'!$A$2:$A$119,0))</f>
        <v>Not disclosed</v>
      </c>
      <c r="E36" s="0" t="str">
        <f aca="false">INDEX('All projects'!$T$2:$T$119,MATCH($A36,'All projects'!$A$2:$A$119,0))</f>
        <v>G2G</v>
      </c>
      <c r="F36" s="0" t="str">
        <f aca="false">INDEX('All projects'!$AQ$2:$AQ$119,MATCH($A36,'All projects'!$A$2:$A$119,0))</f>
        <v>Not reported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4"/>
    <col collapsed="false" customWidth="true" hidden="false" outlineLevel="0" max="4" min="4" style="0" width="40"/>
    <col collapsed="false" customWidth="true" hidden="false" outlineLevel="0" max="5" min="5" style="0" width="20"/>
    <col collapsed="false" customWidth="true" hidden="false" outlineLevel="0" max="6" min="6" style="0" width="30"/>
    <col collapsed="false" customWidth="true" hidden="false" outlineLevel="0" max="7" min="7" style="0" width="24"/>
    <col collapsed="false" customWidth="true" hidden="false" outlineLevel="0" max="8" min="8" style="0" width="16"/>
    <col collapsed="false" customWidth="true" hidden="false" outlineLevel="0" max="9" min="9" style="0" width="22"/>
    <col collapsed="false" customWidth="true" hidden="false" outlineLevel="0" max="10" min="10" style="0" width="20"/>
    <col collapsed="false" customWidth="true" hidden="false" outlineLevel="0" max="11" min="11" style="0" width="10"/>
    <col collapsed="false" customWidth="true" hidden="false" outlineLevel="0" max="12" min="12" style="0" width="18"/>
  </cols>
  <sheetData>
    <row r="1" customFormat="false" ht="16.15" hidden="false" customHeight="false" outlineLevel="0" collapsed="false">
      <c r="A1" s="4" t="s">
        <v>3894</v>
      </c>
    </row>
    <row r="2" customFormat="false" ht="31.5" hidden="false" customHeight="true" outlineLevel="0" collapsed="false">
      <c r="A2" s="20" t="s">
        <v>3895</v>
      </c>
      <c r="B2" s="20"/>
      <c r="C2" s="20"/>
      <c r="D2" s="20"/>
      <c r="E2" s="20"/>
      <c r="F2" s="20"/>
      <c r="G2" s="20"/>
      <c r="H2" s="20"/>
      <c r="I2" s="20"/>
      <c r="J2" s="20"/>
      <c r="K2" s="20"/>
      <c r="L2" s="20"/>
    </row>
    <row r="4" customFormat="false" ht="23.85" hidden="false" customHeight="false" outlineLevel="0" collapsed="false">
      <c r="A4" s="21" t="s">
        <v>3880</v>
      </c>
      <c r="B4" s="21" t="s">
        <v>3896</v>
      </c>
      <c r="C4" s="21" t="s">
        <v>3882</v>
      </c>
      <c r="D4" s="21" t="s">
        <v>3897</v>
      </c>
      <c r="E4" s="21" t="s">
        <v>3898</v>
      </c>
      <c r="F4" s="21" t="s">
        <v>3899</v>
      </c>
      <c r="G4" s="21" t="s">
        <v>3900</v>
      </c>
      <c r="H4" s="22" t="s">
        <v>18</v>
      </c>
      <c r="I4" s="22" t="s">
        <v>3869</v>
      </c>
      <c r="J4" s="22" t="s">
        <v>3872</v>
      </c>
      <c r="K4" s="22" t="s">
        <v>3874</v>
      </c>
      <c r="L4" s="22" t="s">
        <v>3876</v>
      </c>
    </row>
    <row r="5" customFormat="false" ht="35.05" hidden="false" customHeight="false" outlineLevel="0" collapsed="false">
      <c r="A5" s="13" t="s">
        <v>143</v>
      </c>
      <c r="B5" s="13" t="s">
        <v>147</v>
      </c>
      <c r="C5" s="13" t="s">
        <v>144</v>
      </c>
      <c r="D5" s="13" t="s">
        <v>145</v>
      </c>
      <c r="E5" s="13" t="s">
        <v>156</v>
      </c>
      <c r="F5" s="13" t="s">
        <v>163</v>
      </c>
      <c r="G5" s="13" t="s">
        <v>168</v>
      </c>
      <c r="H5" s="23"/>
      <c r="I5" s="23"/>
      <c r="J5" s="23"/>
      <c r="K5" s="23"/>
      <c r="L5" s="23"/>
    </row>
    <row r="6" customFormat="false" ht="23.85" hidden="false" customHeight="false" outlineLevel="0" collapsed="false">
      <c r="A6" s="13" t="s">
        <v>175</v>
      </c>
      <c r="B6" s="13" t="s">
        <v>178</v>
      </c>
      <c r="C6" s="13" t="s">
        <v>176</v>
      </c>
      <c r="D6" s="13" t="s">
        <v>177</v>
      </c>
      <c r="E6" s="13" t="s">
        <v>159</v>
      </c>
      <c r="F6" s="13" t="s">
        <v>162</v>
      </c>
      <c r="G6" s="13"/>
      <c r="H6" s="23"/>
      <c r="I6" s="23"/>
      <c r="J6" s="23"/>
      <c r="K6" s="23"/>
      <c r="L6" s="23"/>
    </row>
    <row r="7" customFormat="false" ht="35.05" hidden="false" customHeight="false" outlineLevel="0" collapsed="false">
      <c r="A7" s="13" t="s">
        <v>265</v>
      </c>
      <c r="B7" s="13" t="s">
        <v>268</v>
      </c>
      <c r="C7" s="13" t="s">
        <v>266</v>
      </c>
      <c r="D7" s="13" t="s">
        <v>267</v>
      </c>
      <c r="E7" s="13" t="s">
        <v>156</v>
      </c>
      <c r="F7" s="13" t="s">
        <v>162</v>
      </c>
      <c r="G7" s="13" t="s">
        <v>270</v>
      </c>
      <c r="H7" s="23"/>
      <c r="I7" s="23"/>
      <c r="J7" s="23"/>
      <c r="K7" s="23"/>
      <c r="L7" s="23"/>
    </row>
    <row r="8" customFormat="false" ht="35.05" hidden="false" customHeight="false" outlineLevel="0" collapsed="false">
      <c r="A8" s="13" t="s">
        <v>281</v>
      </c>
      <c r="B8" s="13" t="s">
        <v>284</v>
      </c>
      <c r="C8" s="13" t="s">
        <v>282</v>
      </c>
      <c r="D8" s="13" t="s">
        <v>283</v>
      </c>
      <c r="E8" s="13" t="s">
        <v>288</v>
      </c>
      <c r="F8" s="13" t="s">
        <v>293</v>
      </c>
      <c r="G8" s="13" t="s">
        <v>297</v>
      </c>
      <c r="H8" s="23"/>
      <c r="I8" s="23"/>
      <c r="J8" s="23"/>
      <c r="K8" s="23"/>
      <c r="L8" s="23"/>
    </row>
    <row r="9" customFormat="false" ht="23.85" hidden="false" customHeight="false" outlineLevel="0" collapsed="false">
      <c r="A9" s="13" t="s">
        <v>300</v>
      </c>
      <c r="B9" s="13" t="s">
        <v>303</v>
      </c>
      <c r="C9" s="13" t="s">
        <v>301</v>
      </c>
      <c r="D9" s="13" t="s">
        <v>302</v>
      </c>
      <c r="E9" s="13" t="s">
        <v>60</v>
      </c>
      <c r="F9" s="13" t="s">
        <v>305</v>
      </c>
      <c r="G9" s="13"/>
      <c r="H9" s="23"/>
      <c r="I9" s="23"/>
      <c r="J9" s="23"/>
      <c r="K9" s="23"/>
      <c r="L9" s="23"/>
    </row>
    <row r="10" customFormat="false" ht="35.05" hidden="false" customHeight="false" outlineLevel="0" collapsed="false">
      <c r="A10" s="13" t="s">
        <v>311</v>
      </c>
      <c r="B10" s="13" t="s">
        <v>314</v>
      </c>
      <c r="C10" s="13" t="s">
        <v>312</v>
      </c>
      <c r="D10" s="13" t="s">
        <v>313</v>
      </c>
      <c r="E10" s="13" t="s">
        <v>60</v>
      </c>
      <c r="F10" s="13" t="s">
        <v>319</v>
      </c>
      <c r="G10" s="13" t="s">
        <v>323</v>
      </c>
      <c r="H10" s="23"/>
      <c r="I10" s="23"/>
      <c r="J10" s="23"/>
      <c r="K10" s="23"/>
      <c r="L10" s="23"/>
    </row>
    <row r="11" customFormat="false" ht="35.05" hidden="false" customHeight="false" outlineLevel="0" collapsed="false">
      <c r="A11" s="13" t="s">
        <v>325</v>
      </c>
      <c r="B11" s="13" t="s">
        <v>328</v>
      </c>
      <c r="C11" s="13" t="s">
        <v>326</v>
      </c>
      <c r="D11" s="13" t="s">
        <v>327</v>
      </c>
      <c r="E11" s="13" t="s">
        <v>329</v>
      </c>
      <c r="F11" s="13" t="s">
        <v>333</v>
      </c>
      <c r="G11" s="13" t="s">
        <v>337</v>
      </c>
      <c r="H11" s="23"/>
      <c r="I11" s="23"/>
      <c r="J11" s="23"/>
      <c r="K11" s="23"/>
      <c r="L11" s="23"/>
    </row>
    <row r="12" customFormat="false" ht="23.85" hidden="false" customHeight="false" outlineLevel="0" collapsed="false">
      <c r="A12" s="13" t="s">
        <v>674</v>
      </c>
      <c r="B12" s="13" t="s">
        <v>677</v>
      </c>
      <c r="C12" s="13" t="s">
        <v>675</v>
      </c>
      <c r="D12" s="13" t="s">
        <v>676</v>
      </c>
      <c r="E12" s="13" t="s">
        <v>60</v>
      </c>
      <c r="F12" s="13" t="s">
        <v>678</v>
      </c>
      <c r="G12" s="13" t="s">
        <v>680</v>
      </c>
      <c r="H12" s="23"/>
      <c r="I12" s="23"/>
      <c r="J12" s="23"/>
      <c r="K12" s="23"/>
      <c r="L12" s="23"/>
    </row>
    <row r="13" customFormat="false" ht="35.05" hidden="false" customHeight="false" outlineLevel="0" collapsed="false">
      <c r="A13" s="13" t="s">
        <v>692</v>
      </c>
      <c r="B13" s="13" t="s">
        <v>695</v>
      </c>
      <c r="C13" s="13" t="s">
        <v>693</v>
      </c>
      <c r="D13" s="13" t="s">
        <v>694</v>
      </c>
      <c r="E13" s="13" t="s">
        <v>699</v>
      </c>
      <c r="F13" s="13" t="s">
        <v>702</v>
      </c>
      <c r="G13" s="13" t="s">
        <v>705</v>
      </c>
      <c r="H13" s="23"/>
      <c r="I13" s="23"/>
      <c r="J13" s="23"/>
      <c r="K13" s="23"/>
      <c r="L13" s="23"/>
    </row>
    <row r="14" customFormat="false" ht="35.05" hidden="false" customHeight="false" outlineLevel="0" collapsed="false">
      <c r="A14" s="13" t="s">
        <v>1305</v>
      </c>
      <c r="B14" s="13" t="s">
        <v>1308</v>
      </c>
      <c r="C14" s="13" t="s">
        <v>1306</v>
      </c>
      <c r="D14" s="13" t="s">
        <v>1307</v>
      </c>
      <c r="E14" s="13" t="s">
        <v>1309</v>
      </c>
      <c r="F14" s="13" t="s">
        <v>1312</v>
      </c>
      <c r="G14" s="13" t="s">
        <v>1315</v>
      </c>
      <c r="H14" s="23"/>
      <c r="I14" s="23"/>
      <c r="J14" s="23"/>
      <c r="K14" s="23"/>
      <c r="L14" s="23"/>
    </row>
    <row r="15" customFormat="false" ht="35.05" hidden="false" customHeight="false" outlineLevel="0" collapsed="false">
      <c r="A15" s="13" t="s">
        <v>770</v>
      </c>
      <c r="B15" s="13" t="s">
        <v>773</v>
      </c>
      <c r="C15" s="13" t="s">
        <v>771</v>
      </c>
      <c r="D15" s="13" t="s">
        <v>772</v>
      </c>
      <c r="E15" s="13" t="s">
        <v>777</v>
      </c>
      <c r="F15" s="13" t="s">
        <v>779</v>
      </c>
      <c r="G15" s="13" t="s">
        <v>781</v>
      </c>
      <c r="H15" s="23"/>
      <c r="I15" s="23"/>
      <c r="J15" s="23"/>
      <c r="K15" s="23"/>
      <c r="L15" s="23"/>
    </row>
    <row r="16" customFormat="false" ht="35.05" hidden="false" customHeight="false" outlineLevel="0" collapsed="false">
      <c r="A16" s="13" t="s">
        <v>821</v>
      </c>
      <c r="B16" s="13" t="s">
        <v>824</v>
      </c>
      <c r="C16" s="13" t="s">
        <v>822</v>
      </c>
      <c r="D16" s="13" t="s">
        <v>823</v>
      </c>
      <c r="E16" s="13" t="s">
        <v>156</v>
      </c>
      <c r="F16" s="13" t="s">
        <v>825</v>
      </c>
      <c r="G16" s="13" t="s">
        <v>826</v>
      </c>
      <c r="H16" s="23"/>
      <c r="I16" s="23"/>
      <c r="J16" s="23"/>
      <c r="K16" s="23"/>
      <c r="L16" s="23"/>
    </row>
    <row r="17" customFormat="false" ht="23.85" hidden="false" customHeight="false" outlineLevel="0" collapsed="false">
      <c r="A17" s="13" t="s">
        <v>890</v>
      </c>
      <c r="B17" s="13" t="s">
        <v>893</v>
      </c>
      <c r="C17" s="13" t="s">
        <v>891</v>
      </c>
      <c r="D17" s="13" t="s">
        <v>892</v>
      </c>
      <c r="E17" s="13" t="s">
        <v>346</v>
      </c>
      <c r="F17" s="13" t="s">
        <v>894</v>
      </c>
      <c r="G17" s="13" t="s">
        <v>898</v>
      </c>
      <c r="H17" s="23"/>
      <c r="I17" s="23"/>
      <c r="J17" s="23"/>
      <c r="K17" s="23"/>
      <c r="L17" s="23"/>
    </row>
    <row r="18" customFormat="false" ht="35.05" hidden="false" customHeight="false" outlineLevel="0" collapsed="false">
      <c r="A18" s="13" t="s">
        <v>916</v>
      </c>
      <c r="B18" s="13" t="s">
        <v>919</v>
      </c>
      <c r="C18" s="13" t="s">
        <v>917</v>
      </c>
      <c r="D18" s="13" t="s">
        <v>918</v>
      </c>
      <c r="E18" s="13" t="s">
        <v>923</v>
      </c>
      <c r="F18" s="13" t="s">
        <v>924</v>
      </c>
      <c r="G18" s="13"/>
      <c r="H18" s="23"/>
      <c r="I18" s="23"/>
      <c r="J18" s="23"/>
      <c r="K18" s="23"/>
      <c r="L18" s="23"/>
    </row>
    <row r="19" customFormat="false" ht="35.05" hidden="false" customHeight="false" outlineLevel="0" collapsed="false">
      <c r="A19" s="13" t="s">
        <v>942</v>
      </c>
      <c r="B19" s="13" t="s">
        <v>945</v>
      </c>
      <c r="C19" s="13" t="s">
        <v>943</v>
      </c>
      <c r="D19" s="13" t="s">
        <v>944</v>
      </c>
      <c r="E19" s="13" t="s">
        <v>346</v>
      </c>
      <c r="F19" s="13" t="s">
        <v>949</v>
      </c>
      <c r="G19" s="13" t="s">
        <v>952</v>
      </c>
      <c r="H19" s="23"/>
      <c r="I19" s="23"/>
      <c r="J19" s="23"/>
      <c r="K19" s="23"/>
      <c r="L19" s="23"/>
    </row>
    <row r="20" customFormat="false" ht="46.25" hidden="false" customHeight="false" outlineLevel="0" collapsed="false">
      <c r="A20" s="13" t="s">
        <v>1317</v>
      </c>
      <c r="B20" s="13" t="s">
        <v>1320</v>
      </c>
      <c r="C20" s="13" t="s">
        <v>1318</v>
      </c>
      <c r="D20" s="13" t="s">
        <v>1319</v>
      </c>
      <c r="E20" s="13" t="s">
        <v>552</v>
      </c>
      <c r="F20" s="13" t="s">
        <v>1321</v>
      </c>
      <c r="G20" s="13" t="s">
        <v>1325</v>
      </c>
      <c r="H20" s="23"/>
      <c r="I20" s="23"/>
      <c r="J20" s="23"/>
      <c r="K20" s="23"/>
      <c r="L20" s="23"/>
    </row>
    <row r="21" customFormat="false" ht="23.85" hidden="false" customHeight="false" outlineLevel="0" collapsed="false">
      <c r="A21" s="13" t="s">
        <v>1351</v>
      </c>
      <c r="B21" s="13" t="s">
        <v>1354</v>
      </c>
      <c r="C21" s="13" t="s">
        <v>1352</v>
      </c>
      <c r="D21" s="13" t="s">
        <v>1353</v>
      </c>
      <c r="E21" s="13" t="s">
        <v>1355</v>
      </c>
      <c r="F21" s="13" t="s">
        <v>1356</v>
      </c>
      <c r="G21" s="13"/>
      <c r="H21" s="23"/>
      <c r="I21" s="23"/>
      <c r="J21" s="23"/>
      <c r="K21" s="23"/>
      <c r="L21" s="23"/>
    </row>
    <row r="22" customFormat="false" ht="23.85" hidden="false" customHeight="false" outlineLevel="0" collapsed="false">
      <c r="A22" s="13" t="s">
        <v>993</v>
      </c>
      <c r="B22" s="13" t="s">
        <v>996</v>
      </c>
      <c r="C22" s="13" t="s">
        <v>994</v>
      </c>
      <c r="D22" s="13" t="s">
        <v>995</v>
      </c>
      <c r="E22" s="13" t="s">
        <v>60</v>
      </c>
      <c r="F22" s="13" t="s">
        <v>998</v>
      </c>
      <c r="G22" s="13" t="s">
        <v>1000</v>
      </c>
      <c r="H22" s="23"/>
      <c r="I22" s="23"/>
      <c r="J22" s="23"/>
      <c r="K22" s="23"/>
      <c r="L22" s="23"/>
    </row>
    <row r="23" customFormat="false" ht="23.85" hidden="false" customHeight="false" outlineLevel="0" collapsed="false">
      <c r="A23" s="13" t="s">
        <v>1327</v>
      </c>
      <c r="B23" s="13" t="s">
        <v>1330</v>
      </c>
      <c r="C23" s="13" t="s">
        <v>1328</v>
      </c>
      <c r="D23" s="13" t="s">
        <v>1329</v>
      </c>
      <c r="E23" s="13" t="s">
        <v>552</v>
      </c>
      <c r="F23" s="13" t="s">
        <v>1333</v>
      </c>
      <c r="G23" s="13" t="s">
        <v>1335</v>
      </c>
      <c r="H23" s="23"/>
      <c r="I23" s="23"/>
      <c r="J23" s="23"/>
      <c r="K23" s="23"/>
      <c r="L23" s="23"/>
    </row>
    <row r="24" customFormat="false" ht="23.85" hidden="false" customHeight="false" outlineLevel="0" collapsed="false">
      <c r="A24" s="13" t="s">
        <v>1048</v>
      </c>
      <c r="B24" s="13" t="s">
        <v>1051</v>
      </c>
      <c r="C24" s="13" t="s">
        <v>1049</v>
      </c>
      <c r="D24" s="13" t="s">
        <v>1050</v>
      </c>
      <c r="E24" s="13" t="s">
        <v>346</v>
      </c>
      <c r="F24" s="13" t="s">
        <v>1053</v>
      </c>
      <c r="G24" s="13" t="s">
        <v>1054</v>
      </c>
      <c r="H24" s="23"/>
      <c r="I24" s="23"/>
      <c r="J24" s="23"/>
      <c r="K24" s="23"/>
      <c r="L24" s="23"/>
    </row>
    <row r="25" customFormat="false" ht="23.85" hidden="false" customHeight="false" outlineLevel="0" collapsed="false">
      <c r="A25" s="13" t="s">
        <v>1056</v>
      </c>
      <c r="B25" s="13" t="s">
        <v>1059</v>
      </c>
      <c r="C25" s="13" t="s">
        <v>1057</v>
      </c>
      <c r="D25" s="13" t="s">
        <v>1058</v>
      </c>
      <c r="E25" s="13" t="s">
        <v>346</v>
      </c>
      <c r="F25" s="13" t="s">
        <v>1060</v>
      </c>
      <c r="G25" s="13"/>
      <c r="H25" s="23"/>
      <c r="I25" s="23"/>
      <c r="J25" s="23"/>
      <c r="K25" s="23"/>
      <c r="L25" s="23"/>
    </row>
    <row r="26" customFormat="false" ht="23.85" hidden="false" customHeight="false" outlineLevel="0" collapsed="false">
      <c r="A26" s="13" t="s">
        <v>1076</v>
      </c>
      <c r="B26" s="13" t="s">
        <v>1079</v>
      </c>
      <c r="C26" s="13" t="s">
        <v>1077</v>
      </c>
      <c r="D26" s="13" t="s">
        <v>1078</v>
      </c>
      <c r="E26" s="13" t="s">
        <v>215</v>
      </c>
      <c r="F26" s="13" t="s">
        <v>1084</v>
      </c>
      <c r="G26" s="13"/>
      <c r="H26" s="23"/>
      <c r="I26" s="23"/>
      <c r="J26" s="23"/>
      <c r="K26" s="23"/>
      <c r="L26" s="23"/>
    </row>
    <row r="27" customFormat="false" ht="46.25" hidden="false" customHeight="false" outlineLevel="0" collapsed="false">
      <c r="A27" s="13" t="s">
        <v>1098</v>
      </c>
      <c r="B27" s="13" t="s">
        <v>1101</v>
      </c>
      <c r="C27" s="13" t="s">
        <v>1099</v>
      </c>
      <c r="D27" s="13" t="s">
        <v>1100</v>
      </c>
      <c r="E27" s="13" t="s">
        <v>346</v>
      </c>
      <c r="F27" s="13" t="s">
        <v>1106</v>
      </c>
      <c r="G27" s="13" t="s">
        <v>1109</v>
      </c>
      <c r="H27" s="23"/>
      <c r="I27" s="23"/>
      <c r="J27" s="23"/>
      <c r="K27" s="23"/>
      <c r="L27" s="23"/>
    </row>
    <row r="28" customFormat="false" ht="15" hidden="false" customHeight="false" outlineLevel="0" collapsed="false">
      <c r="A28" s="13" t="s">
        <v>1111</v>
      </c>
      <c r="B28" s="13" t="s">
        <v>1114</v>
      </c>
      <c r="C28" s="13" t="s">
        <v>1112</v>
      </c>
      <c r="D28" s="13" t="s">
        <v>1113</v>
      </c>
      <c r="E28" s="13" t="s">
        <v>1115</v>
      </c>
      <c r="F28" s="13" t="s">
        <v>217</v>
      </c>
      <c r="G28" s="13"/>
      <c r="H28" s="23"/>
      <c r="I28" s="23"/>
      <c r="J28" s="23"/>
      <c r="K28" s="23"/>
      <c r="L28" s="23"/>
    </row>
    <row r="29" customFormat="false" ht="15" hidden="false" customHeight="false" outlineLevel="0" collapsed="false">
      <c r="A29" s="13" t="s">
        <v>1126</v>
      </c>
      <c r="B29" s="13" t="s">
        <v>1129</v>
      </c>
      <c r="C29" s="13" t="s">
        <v>1127</v>
      </c>
      <c r="D29" s="13" t="s">
        <v>1128</v>
      </c>
      <c r="E29" s="13" t="s">
        <v>215</v>
      </c>
      <c r="F29" s="13" t="s">
        <v>1134</v>
      </c>
      <c r="G29" s="13"/>
      <c r="H29" s="23"/>
      <c r="I29" s="23"/>
      <c r="J29" s="23"/>
      <c r="K29" s="23"/>
      <c r="L29" s="23"/>
    </row>
    <row r="30" customFormat="false" ht="35.05" hidden="false" customHeight="false" outlineLevel="0" collapsed="false">
      <c r="A30" s="13" t="s">
        <v>1137</v>
      </c>
      <c r="B30" s="13" t="s">
        <v>1129</v>
      </c>
      <c r="C30" s="13" t="s">
        <v>1138</v>
      </c>
      <c r="D30" s="13" t="s">
        <v>1139</v>
      </c>
      <c r="E30" s="13" t="s">
        <v>215</v>
      </c>
      <c r="F30" s="13" t="s">
        <v>1141</v>
      </c>
      <c r="G30" s="13" t="s">
        <v>1145</v>
      </c>
      <c r="H30" s="23"/>
      <c r="I30" s="23"/>
      <c r="J30" s="23"/>
      <c r="K30" s="23"/>
      <c r="L30" s="23"/>
    </row>
    <row r="31" customFormat="false" ht="15" hidden="false" customHeight="false" outlineLevel="0" collapsed="false">
      <c r="A31" s="13" t="s">
        <v>1165</v>
      </c>
      <c r="B31" s="13" t="s">
        <v>1168</v>
      </c>
      <c r="C31" s="13" t="s">
        <v>1166</v>
      </c>
      <c r="D31" s="13" t="s">
        <v>1167</v>
      </c>
      <c r="E31" s="13" t="s">
        <v>346</v>
      </c>
      <c r="F31" s="13" t="s">
        <v>1169</v>
      </c>
      <c r="G31" s="13"/>
      <c r="H31" s="23"/>
      <c r="I31" s="23"/>
      <c r="J31" s="23"/>
      <c r="K31" s="23"/>
      <c r="L31" s="23"/>
    </row>
    <row r="32" customFormat="false" ht="35.05" hidden="false" customHeight="false" outlineLevel="0" collapsed="false">
      <c r="A32" s="13" t="s">
        <v>1268</v>
      </c>
      <c r="B32" s="13" t="s">
        <v>751</v>
      </c>
      <c r="C32" s="13" t="s">
        <v>1269</v>
      </c>
      <c r="D32" s="13" t="s">
        <v>1270</v>
      </c>
      <c r="E32" s="13" t="s">
        <v>156</v>
      </c>
      <c r="F32" s="13" t="s">
        <v>1271</v>
      </c>
      <c r="G32" s="13" t="s">
        <v>1272</v>
      </c>
      <c r="H32" s="23"/>
      <c r="I32" s="23"/>
      <c r="J32" s="23"/>
      <c r="K32" s="23"/>
      <c r="L32" s="23"/>
    </row>
    <row r="33" customFormat="false" ht="23.85" hidden="false" customHeight="false" outlineLevel="0" collapsed="false">
      <c r="A33" s="13" t="s">
        <v>1290</v>
      </c>
      <c r="B33" s="13" t="s">
        <v>751</v>
      </c>
      <c r="C33" s="13" t="s">
        <v>1291</v>
      </c>
      <c r="D33" s="13" t="s">
        <v>1292</v>
      </c>
      <c r="E33" s="13" t="s">
        <v>156</v>
      </c>
      <c r="F33" s="13" t="s">
        <v>1296</v>
      </c>
      <c r="G33" s="13" t="s">
        <v>1298</v>
      </c>
      <c r="H33" s="23"/>
      <c r="I33" s="23"/>
      <c r="J33" s="23"/>
      <c r="K33" s="23"/>
      <c r="L33" s="23"/>
    </row>
    <row r="34" customFormat="false" ht="35.05" hidden="false" customHeight="false" outlineLevel="0" collapsed="false">
      <c r="A34" s="13" t="s">
        <v>387</v>
      </c>
      <c r="B34" s="13" t="s">
        <v>390</v>
      </c>
      <c r="C34" s="13" t="s">
        <v>388</v>
      </c>
      <c r="D34" s="13" t="s">
        <v>389</v>
      </c>
      <c r="E34" s="13" t="s">
        <v>395</v>
      </c>
      <c r="F34" s="13" t="s">
        <v>397</v>
      </c>
      <c r="G34" s="13" t="s">
        <v>401</v>
      </c>
      <c r="H34" s="23"/>
      <c r="I34" s="23"/>
      <c r="J34" s="23"/>
      <c r="K34" s="23"/>
      <c r="L34" s="23"/>
    </row>
    <row r="35" customFormat="false" ht="23.85" hidden="false" customHeight="false" outlineLevel="0" collapsed="false">
      <c r="A35" s="13" t="s">
        <v>406</v>
      </c>
      <c r="B35" s="13" t="s">
        <v>409</v>
      </c>
      <c r="C35" s="13" t="s">
        <v>407</v>
      </c>
      <c r="D35" s="13" t="s">
        <v>408</v>
      </c>
      <c r="E35" s="13" t="s">
        <v>411</v>
      </c>
      <c r="F35" s="13" t="s">
        <v>414</v>
      </c>
      <c r="G35" s="13"/>
      <c r="H35" s="23"/>
      <c r="I35" s="23"/>
      <c r="J35" s="23"/>
      <c r="K35" s="23"/>
      <c r="L35" s="23"/>
    </row>
    <row r="36" customFormat="false" ht="23.85" hidden="false" customHeight="false" outlineLevel="0" collapsed="false">
      <c r="A36" s="13" t="s">
        <v>421</v>
      </c>
      <c r="B36" s="13" t="s">
        <v>424</v>
      </c>
      <c r="C36" s="13" t="s">
        <v>422</v>
      </c>
      <c r="D36" s="13" t="s">
        <v>423</v>
      </c>
      <c r="E36" s="13" t="s">
        <v>60</v>
      </c>
      <c r="F36" s="13" t="s">
        <v>426</v>
      </c>
      <c r="G36" s="13"/>
      <c r="H36" s="23"/>
      <c r="I36" s="23"/>
      <c r="J36" s="23"/>
      <c r="K36" s="23"/>
      <c r="L36" s="23"/>
    </row>
    <row r="37" customFormat="false" ht="35.05" hidden="false" customHeight="false" outlineLevel="0" collapsed="false">
      <c r="A37" s="13" t="s">
        <v>466</v>
      </c>
      <c r="B37" s="13" t="s">
        <v>469</v>
      </c>
      <c r="C37" s="13" t="s">
        <v>467</v>
      </c>
      <c r="D37" s="13" t="s">
        <v>468</v>
      </c>
      <c r="E37" s="13" t="s">
        <v>156</v>
      </c>
      <c r="F37" s="13" t="s">
        <v>474</v>
      </c>
      <c r="G37" s="13"/>
      <c r="H37" s="23"/>
      <c r="I37" s="23"/>
      <c r="J37" s="23"/>
      <c r="K37" s="23"/>
      <c r="L37" s="23"/>
    </row>
    <row r="38" customFormat="false" ht="23.85" hidden="false" customHeight="false" outlineLevel="0" collapsed="false">
      <c r="A38" s="13" t="s">
        <v>547</v>
      </c>
      <c r="B38" s="13" t="s">
        <v>550</v>
      </c>
      <c r="C38" s="13" t="s">
        <v>548</v>
      </c>
      <c r="D38" s="13" t="s">
        <v>549</v>
      </c>
      <c r="E38" s="13" t="s">
        <v>552</v>
      </c>
      <c r="F38" s="13" t="s">
        <v>557</v>
      </c>
      <c r="G38" s="13"/>
      <c r="H38" s="23"/>
      <c r="I38" s="23"/>
      <c r="J38" s="23"/>
      <c r="K38" s="23"/>
      <c r="L38" s="23"/>
    </row>
    <row r="39" customFormat="false" ht="35.05" hidden="false" customHeight="false" outlineLevel="0" collapsed="false">
      <c r="A39" s="13" t="s">
        <v>601</v>
      </c>
      <c r="B39" s="13" t="s">
        <v>602</v>
      </c>
      <c r="C39" s="13" t="s">
        <v>301</v>
      </c>
      <c r="D39" s="13" t="s">
        <v>302</v>
      </c>
      <c r="E39" s="13" t="s">
        <v>60</v>
      </c>
      <c r="F39" s="13" t="s">
        <v>305</v>
      </c>
      <c r="G39" s="13"/>
      <c r="H39" s="23"/>
      <c r="I39" s="23"/>
      <c r="J39" s="23"/>
      <c r="K39" s="23"/>
      <c r="L39" s="23"/>
    </row>
    <row r="41" customFormat="false" ht="15" hidden="false" customHeight="false" outlineLevel="0" collapsed="false">
      <c r="A41" s="24" t="s">
        <v>3901</v>
      </c>
    </row>
    <row r="42" customFormat="false" ht="15" hidden="false" customHeight="false" outlineLevel="0" collapsed="false">
      <c r="A42" s="5" t="s">
        <v>3881</v>
      </c>
      <c r="B42" s="5" t="s">
        <v>3902</v>
      </c>
      <c r="C42" s="5" t="s">
        <v>3903</v>
      </c>
      <c r="D42" s="5" t="s">
        <v>3904</v>
      </c>
    </row>
    <row r="43" customFormat="false" ht="15" hidden="false" customHeight="false" outlineLevel="0" collapsed="false">
      <c r="A43" s="6" t="s">
        <v>18</v>
      </c>
      <c r="B43" s="6" t="n">
        <f aca="false">COUNTA(H$5:H$39)</f>
        <v>0</v>
      </c>
      <c r="C43" s="10" t="str">
        <f aca="false">IF(B43=0,"",SUMPRODUCT((H$5:H$39&lt;&gt;"")*(H$5:H$39=_AnswerKey!B$2:B$36))/B43)</f>
        <v/>
      </c>
      <c r="D43" s="9" t="str">
        <f aca="false">IF(B43=0,"",IFERROR((C43-SUMPRODUCT(COUNTIFS(H$5:H$39,_AnswerKey!H$2:H$20)*COUNTIFS(_AnswerKey!B$2:B$36,_AnswerKey!H$2:H$20,H$5:H$39,"&lt;&gt;"))/B43^2)/(1-SUMPRODUCT(COUNTIFS(H$5:H$39,_AnswerKey!H$2:H$20)*COUNTIFS(_AnswerKey!B$2:B$36,_AnswerKey!H$2:H$20,H$5:H$39,"&lt;&gt;"))/B43^2),1))</f>
        <v/>
      </c>
    </row>
    <row r="44" customFormat="false" ht="15" hidden="false" customHeight="false" outlineLevel="0" collapsed="false">
      <c r="A44" s="6" t="s">
        <v>3869</v>
      </c>
      <c r="B44" s="6" t="n">
        <f aca="false">COUNTA(I$5:I$39)</f>
        <v>0</v>
      </c>
      <c r="C44" s="10" t="str">
        <f aca="false">IF(B44=0,"",SUMPRODUCT((I$5:I$39&lt;&gt;"")*(I$5:I$39=_AnswerKey!C$2:C$36))/B44)</f>
        <v/>
      </c>
      <c r="D44" s="9" t="str">
        <f aca="false">IF(B44=0,"",IFERROR((C44-SUMPRODUCT(COUNTIFS(I$5:I$39,_AnswerKey!I$2:I$20)*COUNTIFS(_AnswerKey!C$2:C$36,_AnswerKey!I$2:I$20,I$5:I$39,"&lt;&gt;"))/B44^2)/(1-SUMPRODUCT(COUNTIFS(I$5:I$39,_AnswerKey!I$2:I$20)*COUNTIFS(_AnswerKey!C$2:C$36,_AnswerKey!I$2:I$20,I$5:I$39,"&lt;&gt;"))/B44^2),1))</f>
        <v/>
      </c>
    </row>
    <row r="45" customFormat="false" ht="15" hidden="false" customHeight="false" outlineLevel="0" collapsed="false">
      <c r="A45" s="6" t="s">
        <v>3872</v>
      </c>
      <c r="B45" s="6" t="n">
        <f aca="false">COUNTA(J$5:J$39)</f>
        <v>0</v>
      </c>
      <c r="C45" s="10" t="str">
        <f aca="false">IF(B45=0,"",SUMPRODUCT((J$5:J$39&lt;&gt;"")*(J$5:J$39=_AnswerKey!D$2:D$36))/B45)</f>
        <v/>
      </c>
      <c r="D45" s="9" t="str">
        <f aca="false">IF(B45=0,"",IFERROR((C45-SUMPRODUCT(COUNTIFS(J$5:J$39,_AnswerKey!J$2:J$20)*COUNTIFS(_AnswerKey!D$2:D$36,_AnswerKey!J$2:J$20,J$5:J$39,"&lt;&gt;"))/B45^2)/(1-SUMPRODUCT(COUNTIFS(J$5:J$39,_AnswerKey!J$2:J$20)*COUNTIFS(_AnswerKey!D$2:D$36,_AnswerKey!J$2:J$20,J$5:J$39,"&lt;&gt;"))/B45^2),1))</f>
        <v/>
      </c>
    </row>
    <row r="46" customFormat="false" ht="15" hidden="false" customHeight="false" outlineLevel="0" collapsed="false">
      <c r="A46" s="6" t="s">
        <v>3874</v>
      </c>
      <c r="B46" s="6" t="n">
        <f aca="false">COUNTA(K$5:K$39)</f>
        <v>0</v>
      </c>
      <c r="C46" s="10" t="str">
        <f aca="false">IF(B46=0,"",SUMPRODUCT((K$5:K$39&lt;&gt;"")*(K$5:K$39=_AnswerKey!E$2:E$36))/B46)</f>
        <v/>
      </c>
      <c r="D46" s="9" t="str">
        <f aca="false">IF(B46=0,"",IFERROR((C46-SUMPRODUCT(COUNTIFS(K$5:K$39,_AnswerKey!K$2:K$20)*COUNTIFS(_AnswerKey!E$2:E$36,_AnswerKey!K$2:K$20,K$5:K$39,"&lt;&gt;"))/B46^2)/(1-SUMPRODUCT(COUNTIFS(K$5:K$39,_AnswerKey!K$2:K$20)*COUNTIFS(_AnswerKey!E$2:E$36,_AnswerKey!K$2:K$20,K$5:K$39,"&lt;&gt;"))/B46^2),1))</f>
        <v/>
      </c>
    </row>
    <row r="47" customFormat="false" ht="15" hidden="false" customHeight="false" outlineLevel="0" collapsed="false">
      <c r="A47" s="6" t="s">
        <v>3876</v>
      </c>
      <c r="B47" s="6" t="n">
        <f aca="false">COUNTA(L$5:L$39)</f>
        <v>0</v>
      </c>
      <c r="C47" s="10" t="str">
        <f aca="false">IF(B47=0,"",SUMPRODUCT((L$5:L$39&lt;&gt;"")*(L$5:L$39=_AnswerKey!F$2:F$36))/B47)</f>
        <v/>
      </c>
      <c r="D47" s="9" t="str">
        <f aca="false">IF(B47=0,"",IFERROR((C47-SUMPRODUCT(COUNTIFS(L$5:L$39,_AnswerKey!L$2:L$20)*COUNTIFS(_AnswerKey!F$2:F$36,_AnswerKey!L$2:L$20,L$5:L$39,"&lt;&gt;"))/B47^2)/(1-SUMPRODUCT(COUNTIFS(L$5:L$39,_AnswerKey!L$2:L$20)*COUNTIFS(_AnswerKey!F$2:F$36,_AnswerKey!L$2:L$20,L$5:L$39,"&lt;&gt;"))/B47^2),1))</f>
        <v/>
      </c>
    </row>
  </sheetData>
  <mergeCells count="1">
    <mergeCell ref="A2:L2"/>
  </mergeCells>
  <dataValidations count="5">
    <dataValidation allowBlank="true" errorStyle="stop" operator="between" showDropDown="false" showErrorMessage="false" showInputMessage="false" sqref="H5:H39" type="list">
      <formula1>_AnswerKey!$H$2:$H$7</formula1>
      <formula2>0</formula2>
    </dataValidation>
    <dataValidation allowBlank="true" errorStyle="stop" operator="between" showDropDown="false" showErrorMessage="false" showInputMessage="false" sqref="I5:I39" type="list">
      <formula1>_AnswerKey!$I$2:$I$14</formula1>
      <formula2>0</formula2>
    </dataValidation>
    <dataValidation allowBlank="true" errorStyle="stop" operator="between" showDropDown="false" showErrorMessage="false" showInputMessage="false" sqref="J5:J39" type="list">
      <formula1>_AnswerKey!$J$2:$J$6</formula1>
      <formula2>0</formula2>
    </dataValidation>
    <dataValidation allowBlank="true" errorStyle="stop" operator="between" showDropDown="false" showErrorMessage="false" showInputMessage="false" sqref="K5:K39" type="list">
      <formula1>_AnswerKey!$K$2:$K$4</formula1>
      <formula2>0</formula2>
    </dataValidation>
    <dataValidation allowBlank="true" errorStyle="stop" operator="between" showDropDown="false" showErrorMessage="false" showInputMessage="false" sqref="L5:L39" type="list">
      <formula1>_AnswerKey!$L$2:$L$5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8"/>
    <col collapsed="false" customWidth="true" hidden="false" outlineLevel="0" max="4" min="4" style="0" width="19"/>
    <col collapsed="false" customWidth="true" hidden="false" outlineLevel="0" max="5" min="5" style="0" width="90"/>
  </cols>
  <sheetData>
    <row r="1" customFormat="false" ht="15" hidden="false" customHeight="false" outlineLevel="0" collapsed="false">
      <c r="A1" s="11" t="s">
        <v>3905</v>
      </c>
      <c r="B1" s="11" t="s">
        <v>3466</v>
      </c>
      <c r="C1" s="11" t="s">
        <v>3906</v>
      </c>
      <c r="D1" s="11" t="s">
        <v>3907</v>
      </c>
      <c r="E1" s="11" t="s">
        <v>3908</v>
      </c>
    </row>
    <row r="2" customFormat="false" ht="191.75" hidden="false" customHeight="false" outlineLevel="0" collapsed="false">
      <c r="A2" s="13" t="s">
        <v>3909</v>
      </c>
      <c r="B2" s="13" t="s">
        <v>63</v>
      </c>
      <c r="C2" s="13" t="s">
        <v>3910</v>
      </c>
      <c r="D2" s="13" t="s">
        <v>3911</v>
      </c>
      <c r="E2" s="13" t="s">
        <v>3912</v>
      </c>
    </row>
    <row r="3" customFormat="false" ht="191.75" hidden="false" customHeight="false" outlineLevel="0" collapsed="false">
      <c r="A3" s="13" t="s">
        <v>3913</v>
      </c>
      <c r="B3" s="13" t="s">
        <v>63</v>
      </c>
      <c r="C3" s="13" t="s">
        <v>3914</v>
      </c>
      <c r="D3" s="13" t="s">
        <v>3911</v>
      </c>
      <c r="E3" s="13" t="s">
        <v>3915</v>
      </c>
    </row>
    <row r="4" customFormat="false" ht="180.55" hidden="false" customHeight="false" outlineLevel="0" collapsed="false">
      <c r="A4" s="13" t="s">
        <v>3916</v>
      </c>
      <c r="B4" s="13" t="s">
        <v>63</v>
      </c>
      <c r="C4" s="13" t="s">
        <v>3917</v>
      </c>
      <c r="D4" s="13" t="s">
        <v>3911</v>
      </c>
      <c r="E4" s="13" t="s">
        <v>3918</v>
      </c>
    </row>
    <row r="5" customFormat="false" ht="180.55" hidden="false" customHeight="false" outlineLevel="0" collapsed="false">
      <c r="A5" s="13" t="s">
        <v>3919</v>
      </c>
      <c r="B5" s="13" t="s">
        <v>20</v>
      </c>
      <c r="C5" s="13" t="s">
        <v>3920</v>
      </c>
      <c r="D5" s="13" t="s">
        <v>3921</v>
      </c>
      <c r="E5" s="13" t="s">
        <v>3922</v>
      </c>
    </row>
    <row r="6" customFormat="false" ht="180.55" hidden="false" customHeight="false" outlineLevel="0" collapsed="false">
      <c r="A6" s="13" t="s">
        <v>3923</v>
      </c>
      <c r="B6" s="13" t="s">
        <v>20</v>
      </c>
      <c r="C6" s="13" t="s">
        <v>3924</v>
      </c>
      <c r="D6" s="13" t="s">
        <v>3921</v>
      </c>
      <c r="E6" s="13" t="s">
        <v>3925</v>
      </c>
    </row>
    <row r="7" customFormat="false" ht="180.55" hidden="false" customHeight="false" outlineLevel="0" collapsed="false">
      <c r="A7" s="13" t="s">
        <v>3926</v>
      </c>
      <c r="B7" s="13" t="s">
        <v>20</v>
      </c>
      <c r="C7" s="13" t="s">
        <v>3927</v>
      </c>
      <c r="D7" s="13" t="s">
        <v>3921</v>
      </c>
      <c r="E7" s="13" t="s">
        <v>3928</v>
      </c>
    </row>
    <row r="8" customFormat="false" ht="180.55" hidden="false" customHeight="false" outlineLevel="0" collapsed="false">
      <c r="A8" s="13" t="s">
        <v>3929</v>
      </c>
      <c r="B8" s="13" t="s">
        <v>20</v>
      </c>
      <c r="C8" s="13" t="s">
        <v>3930</v>
      </c>
      <c r="D8" s="13" t="s">
        <v>3921</v>
      </c>
      <c r="E8" s="13" t="s">
        <v>3931</v>
      </c>
    </row>
    <row r="9" customFormat="false" ht="180.55" hidden="false" customHeight="false" outlineLevel="0" collapsed="false">
      <c r="A9" s="13" t="s">
        <v>3932</v>
      </c>
      <c r="B9" s="13" t="s">
        <v>20</v>
      </c>
      <c r="C9" s="13" t="s">
        <v>3933</v>
      </c>
      <c r="D9" s="13" t="s">
        <v>3921</v>
      </c>
      <c r="E9" s="13" t="s">
        <v>3934</v>
      </c>
    </row>
    <row r="10" customFormat="false" ht="180.55" hidden="false" customHeight="false" outlineLevel="0" collapsed="false">
      <c r="A10" s="13" t="s">
        <v>3935</v>
      </c>
      <c r="B10" s="13" t="s">
        <v>20</v>
      </c>
      <c r="C10" s="13" t="s">
        <v>3936</v>
      </c>
      <c r="D10" s="13" t="s">
        <v>3921</v>
      </c>
      <c r="E10" s="13" t="s">
        <v>3937</v>
      </c>
    </row>
    <row r="11" customFormat="false" ht="180.55" hidden="false" customHeight="false" outlineLevel="0" collapsed="false">
      <c r="A11" s="13" t="s">
        <v>3938</v>
      </c>
      <c r="B11" s="13" t="s">
        <v>20</v>
      </c>
      <c r="C11" s="13" t="s">
        <v>3939</v>
      </c>
      <c r="D11" s="13" t="s">
        <v>3921</v>
      </c>
      <c r="E11" s="13" t="s">
        <v>3940</v>
      </c>
    </row>
    <row r="12" customFormat="false" ht="191.75" hidden="false" customHeight="false" outlineLevel="0" collapsed="false">
      <c r="A12" s="13" t="s">
        <v>3941</v>
      </c>
      <c r="B12" s="13" t="s">
        <v>20</v>
      </c>
      <c r="C12" s="13" t="s">
        <v>3942</v>
      </c>
      <c r="D12" s="13" t="s">
        <v>3921</v>
      </c>
      <c r="E12" s="13" t="s">
        <v>3943</v>
      </c>
    </row>
    <row r="13" customFormat="false" ht="180.55" hidden="false" customHeight="false" outlineLevel="0" collapsed="false">
      <c r="A13" s="13" t="s">
        <v>3944</v>
      </c>
      <c r="B13" s="13" t="s">
        <v>20</v>
      </c>
      <c r="C13" s="13" t="s">
        <v>3945</v>
      </c>
      <c r="D13" s="13" t="s">
        <v>3921</v>
      </c>
      <c r="E13" s="13" t="s">
        <v>3946</v>
      </c>
    </row>
    <row r="14" customFormat="false" ht="180.55" hidden="false" customHeight="false" outlineLevel="0" collapsed="false">
      <c r="A14" s="13" t="s">
        <v>3947</v>
      </c>
      <c r="B14" s="13" t="s">
        <v>20</v>
      </c>
      <c r="C14" s="13" t="s">
        <v>3948</v>
      </c>
      <c r="D14" s="13" t="s">
        <v>3921</v>
      </c>
      <c r="E14" s="13" t="s">
        <v>3949</v>
      </c>
    </row>
    <row r="15" customFormat="false" ht="180.55" hidden="false" customHeight="false" outlineLevel="0" collapsed="false">
      <c r="A15" s="13" t="s">
        <v>919</v>
      </c>
      <c r="B15" s="13" t="s">
        <v>20</v>
      </c>
      <c r="C15" s="13" t="s">
        <v>3950</v>
      </c>
      <c r="D15" s="13" t="s">
        <v>3921</v>
      </c>
      <c r="E15" s="13" t="s">
        <v>3951</v>
      </c>
    </row>
    <row r="16" customFormat="false" ht="180.55" hidden="false" customHeight="false" outlineLevel="0" collapsed="false">
      <c r="A16" s="13" t="s">
        <v>3952</v>
      </c>
      <c r="B16" s="13" t="s">
        <v>20</v>
      </c>
      <c r="C16" s="13" t="s">
        <v>3953</v>
      </c>
      <c r="D16" s="13" t="s">
        <v>3921</v>
      </c>
      <c r="E16" s="13" t="s">
        <v>3954</v>
      </c>
    </row>
    <row r="17" customFormat="false" ht="180.55" hidden="false" customHeight="false" outlineLevel="0" collapsed="false">
      <c r="A17" s="13" t="s">
        <v>957</v>
      </c>
      <c r="B17" s="13" t="s">
        <v>20</v>
      </c>
      <c r="C17" s="13" t="s">
        <v>3955</v>
      </c>
      <c r="D17" s="13" t="s">
        <v>3921</v>
      </c>
      <c r="E17" s="13" t="s">
        <v>3956</v>
      </c>
    </row>
    <row r="18" customFormat="false" ht="180.55" hidden="false" customHeight="false" outlineLevel="0" collapsed="false">
      <c r="A18" s="13" t="s">
        <v>3957</v>
      </c>
      <c r="B18" s="13" t="s">
        <v>20</v>
      </c>
      <c r="C18" s="13" t="s">
        <v>3958</v>
      </c>
      <c r="D18" s="13" t="s">
        <v>3921</v>
      </c>
      <c r="E18" s="13" t="s">
        <v>3959</v>
      </c>
    </row>
    <row r="19" customFormat="false" ht="180.55" hidden="false" customHeight="false" outlineLevel="0" collapsed="false">
      <c r="A19" s="13" t="s">
        <v>1039</v>
      </c>
      <c r="B19" s="13" t="s">
        <v>20</v>
      </c>
      <c r="C19" s="13" t="s">
        <v>3960</v>
      </c>
      <c r="D19" s="13" t="s">
        <v>3921</v>
      </c>
      <c r="E19" s="13" t="s">
        <v>3961</v>
      </c>
    </row>
    <row r="20" customFormat="false" ht="180.55" hidden="false" customHeight="false" outlineLevel="0" collapsed="false">
      <c r="A20" s="13" t="s">
        <v>3962</v>
      </c>
      <c r="B20" s="13" t="s">
        <v>20</v>
      </c>
      <c r="C20" s="13" t="s">
        <v>3963</v>
      </c>
      <c r="D20" s="13" t="s">
        <v>3921</v>
      </c>
      <c r="E20" s="13" t="s">
        <v>3964</v>
      </c>
    </row>
    <row r="21" customFormat="false" ht="180.55" hidden="false" customHeight="false" outlineLevel="0" collapsed="false">
      <c r="A21" s="13" t="s">
        <v>3965</v>
      </c>
      <c r="B21" s="13" t="s">
        <v>20</v>
      </c>
      <c r="C21" s="13" t="s">
        <v>3966</v>
      </c>
      <c r="D21" s="13" t="s">
        <v>3921</v>
      </c>
      <c r="E21" s="13" t="s">
        <v>3967</v>
      </c>
    </row>
    <row r="22" customFormat="false" ht="180.55" hidden="false" customHeight="false" outlineLevel="0" collapsed="false">
      <c r="A22" s="13" t="s">
        <v>3968</v>
      </c>
      <c r="B22" s="13" t="s">
        <v>20</v>
      </c>
      <c r="C22" s="13" t="s">
        <v>3969</v>
      </c>
      <c r="D22" s="13" t="s">
        <v>3921</v>
      </c>
      <c r="E22" s="13" t="s">
        <v>3970</v>
      </c>
    </row>
    <row r="23" customFormat="false" ht="180.55" hidden="false" customHeight="false" outlineLevel="0" collapsed="false">
      <c r="A23" s="13" t="s">
        <v>3971</v>
      </c>
      <c r="B23" s="13" t="s">
        <v>20</v>
      </c>
      <c r="C23" s="13" t="s">
        <v>3972</v>
      </c>
      <c r="D23" s="13" t="s">
        <v>3921</v>
      </c>
      <c r="E23" s="13" t="s">
        <v>3973</v>
      </c>
    </row>
    <row r="24" customFormat="false" ht="180.55" hidden="false" customHeight="false" outlineLevel="0" collapsed="false">
      <c r="A24" s="13" t="s">
        <v>3974</v>
      </c>
      <c r="B24" s="13" t="s">
        <v>20</v>
      </c>
      <c r="C24" s="13" t="s">
        <v>3975</v>
      </c>
      <c r="D24" s="13" t="s">
        <v>3921</v>
      </c>
      <c r="E24" s="13" t="s">
        <v>3976</v>
      </c>
    </row>
    <row r="25" customFormat="false" ht="180.55" hidden="false" customHeight="false" outlineLevel="0" collapsed="false">
      <c r="A25" s="13" t="s">
        <v>3977</v>
      </c>
      <c r="B25" s="13" t="s">
        <v>20</v>
      </c>
      <c r="C25" s="13" t="s">
        <v>3978</v>
      </c>
      <c r="D25" s="13" t="s">
        <v>3921</v>
      </c>
      <c r="E25" s="13" t="s">
        <v>3979</v>
      </c>
    </row>
    <row r="26" customFormat="false" ht="180.55" hidden="false" customHeight="false" outlineLevel="0" collapsed="false">
      <c r="A26" s="13" t="s">
        <v>1234</v>
      </c>
      <c r="B26" s="13" t="s">
        <v>20</v>
      </c>
      <c r="C26" s="13" t="s">
        <v>3980</v>
      </c>
      <c r="D26" s="13" t="s">
        <v>3921</v>
      </c>
      <c r="E26" s="13" t="s">
        <v>3981</v>
      </c>
    </row>
    <row r="27" customFormat="false" ht="180.55" hidden="false" customHeight="false" outlineLevel="0" collapsed="false">
      <c r="A27" s="13" t="s">
        <v>3982</v>
      </c>
      <c r="B27" s="13" t="s">
        <v>20</v>
      </c>
      <c r="C27" s="13" t="s">
        <v>3983</v>
      </c>
      <c r="D27" s="13" t="s">
        <v>3921</v>
      </c>
      <c r="E27" s="13" t="s">
        <v>3984</v>
      </c>
    </row>
    <row r="28" customFormat="false" ht="180.55" hidden="false" customHeight="false" outlineLevel="0" collapsed="false">
      <c r="A28" s="13" t="s">
        <v>3985</v>
      </c>
      <c r="B28" s="13" t="s">
        <v>3986</v>
      </c>
      <c r="C28" s="13" t="s">
        <v>3987</v>
      </c>
      <c r="D28" s="13" t="s">
        <v>3921</v>
      </c>
      <c r="E28" s="13" t="s">
        <v>3988</v>
      </c>
    </row>
    <row r="29" customFormat="false" ht="180.55" hidden="false" customHeight="false" outlineLevel="0" collapsed="false">
      <c r="A29" s="13" t="s">
        <v>3989</v>
      </c>
      <c r="B29" s="13" t="s">
        <v>63</v>
      </c>
      <c r="C29" s="13" t="s">
        <v>3990</v>
      </c>
      <c r="D29" s="13" t="s">
        <v>3911</v>
      </c>
      <c r="E29" s="13" t="s">
        <v>3991</v>
      </c>
    </row>
    <row r="30" customFormat="false" ht="180.55" hidden="false" customHeight="false" outlineLevel="0" collapsed="false">
      <c r="A30" s="13" t="s">
        <v>3992</v>
      </c>
      <c r="B30" s="13" t="s">
        <v>63</v>
      </c>
      <c r="C30" s="13" t="s">
        <v>3993</v>
      </c>
      <c r="D30" s="13" t="s">
        <v>3911</v>
      </c>
      <c r="E30" s="13" t="s">
        <v>3994</v>
      </c>
    </row>
  </sheetData>
  <autoFilter ref="A1:E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5" min="3" style="0" width="10"/>
    <col collapsed="false" customWidth="true" hidden="false" outlineLevel="0" max="6" min="6" style="0" width="17"/>
    <col collapsed="false" customWidth="true" hidden="false" outlineLevel="0" max="7" min="7" style="0" width="12"/>
  </cols>
  <sheetData>
    <row r="1" customFormat="false" ht="15" hidden="false" customHeight="false" outlineLevel="0" collapsed="false">
      <c r="A1" s="11" t="s">
        <v>3995</v>
      </c>
      <c r="B1" s="11" t="s">
        <v>3996</v>
      </c>
      <c r="C1" s="11" t="s">
        <v>3997</v>
      </c>
      <c r="D1" s="11" t="s">
        <v>1371</v>
      </c>
      <c r="E1" s="11" t="s">
        <v>3466</v>
      </c>
      <c r="F1" s="11" t="s">
        <v>3998</v>
      </c>
      <c r="G1" s="11" t="s">
        <v>3999</v>
      </c>
    </row>
    <row r="2" customFormat="false" ht="15" hidden="false" customHeight="false" outlineLevel="0" collapsed="false">
      <c r="A2" s="12" t="s">
        <v>1634</v>
      </c>
      <c r="B2" s="12" t="s">
        <v>356</v>
      </c>
      <c r="C2" s="12" t="s">
        <v>4000</v>
      </c>
      <c r="D2" s="12" t="s">
        <v>4001</v>
      </c>
      <c r="E2" s="12" t="s">
        <v>63</v>
      </c>
      <c r="F2" s="12" t="s">
        <v>1502</v>
      </c>
      <c r="G2" s="12" t="s">
        <v>364</v>
      </c>
    </row>
    <row r="3" customFormat="false" ht="15" hidden="false" customHeight="false" outlineLevel="0" collapsed="false">
      <c r="A3" s="12" t="s">
        <v>2638</v>
      </c>
      <c r="B3" s="12" t="s">
        <v>178</v>
      </c>
      <c r="C3" s="12" t="s">
        <v>3327</v>
      </c>
      <c r="D3" s="12" t="n">
        <v>2021</v>
      </c>
      <c r="E3" s="12" t="s">
        <v>63</v>
      </c>
      <c r="F3" s="12" t="s">
        <v>1380</v>
      </c>
      <c r="G3" s="12" t="s">
        <v>184</v>
      </c>
    </row>
    <row r="4" customFormat="false" ht="15" hidden="false" customHeight="false" outlineLevel="0" collapsed="false">
      <c r="A4" s="12" t="s">
        <v>4002</v>
      </c>
      <c r="B4" s="12" t="s">
        <v>4003</v>
      </c>
      <c r="C4" s="12" t="s">
        <v>4004</v>
      </c>
      <c r="D4" s="12" t="s">
        <v>4005</v>
      </c>
      <c r="E4" s="12" t="s">
        <v>63</v>
      </c>
      <c r="F4" s="12" t="s">
        <v>1386</v>
      </c>
      <c r="G4" s="12" t="s">
        <v>2450</v>
      </c>
    </row>
    <row r="5" customFormat="false" ht="15" hidden="false" customHeight="false" outlineLevel="0" collapsed="false">
      <c r="A5" s="12" t="s">
        <v>4006</v>
      </c>
      <c r="B5" s="12" t="s">
        <v>2887</v>
      </c>
      <c r="C5" s="12" t="s">
        <v>4007</v>
      </c>
      <c r="D5" s="12" t="s">
        <v>4008</v>
      </c>
      <c r="E5" s="12" t="s">
        <v>3705</v>
      </c>
      <c r="F5" s="12" t="s">
        <v>2368</v>
      </c>
      <c r="G5" s="12" t="s">
        <v>2372</v>
      </c>
    </row>
    <row r="6" customFormat="false" ht="15" hidden="false" customHeight="false" outlineLevel="0" collapsed="false">
      <c r="A6" s="12" t="s">
        <v>4009</v>
      </c>
      <c r="B6" s="12" t="s">
        <v>4010</v>
      </c>
      <c r="C6" s="12" t="s">
        <v>4011</v>
      </c>
      <c r="D6" s="12" t="s">
        <v>4012</v>
      </c>
      <c r="E6" s="12" t="s">
        <v>20</v>
      </c>
      <c r="F6" s="12" t="s">
        <v>2498</v>
      </c>
      <c r="G6" s="12" t="s">
        <v>2501</v>
      </c>
    </row>
    <row r="7" customFormat="false" ht="15" hidden="false" customHeight="false" outlineLevel="0" collapsed="false">
      <c r="A7" s="12" t="s">
        <v>4013</v>
      </c>
      <c r="B7" s="12" t="s">
        <v>4014</v>
      </c>
      <c r="C7" s="12" t="s">
        <v>4015</v>
      </c>
      <c r="D7" s="12" t="s">
        <v>4016</v>
      </c>
      <c r="E7" s="12" t="s">
        <v>20</v>
      </c>
      <c r="F7" s="12" t="s">
        <v>2042</v>
      </c>
      <c r="G7" s="12" t="s">
        <v>2421</v>
      </c>
    </row>
    <row r="8" customFormat="false" ht="15" hidden="false" customHeight="false" outlineLevel="0" collapsed="false">
      <c r="A8" s="12" t="s">
        <v>4017</v>
      </c>
      <c r="B8" s="12" t="s">
        <v>4018</v>
      </c>
      <c r="C8" s="12" t="s">
        <v>4019</v>
      </c>
      <c r="D8" s="12" t="s">
        <v>4020</v>
      </c>
      <c r="E8" s="12" t="s">
        <v>20</v>
      </c>
      <c r="F8" s="12" t="s">
        <v>2453</v>
      </c>
      <c r="G8" s="12" t="s">
        <v>2456</v>
      </c>
    </row>
    <row r="9" customFormat="false" ht="15" hidden="false" customHeight="false" outlineLevel="0" collapsed="false">
      <c r="A9" s="12" t="s">
        <v>4021</v>
      </c>
      <c r="B9" s="12" t="s">
        <v>4022</v>
      </c>
      <c r="C9" s="12" t="s">
        <v>4023</v>
      </c>
      <c r="D9" s="12" t="n">
        <v>2020</v>
      </c>
      <c r="E9" s="12" t="s">
        <v>20</v>
      </c>
      <c r="F9" s="12" t="s">
        <v>1427</v>
      </c>
      <c r="G9" s="12" t="s">
        <v>806</v>
      </c>
    </row>
    <row r="10" customFormat="false" ht="15" hidden="false" customHeight="false" outlineLevel="0" collapsed="false">
      <c r="A10" s="12" t="s">
        <v>4024</v>
      </c>
      <c r="B10" s="12" t="s">
        <v>4025</v>
      </c>
      <c r="C10" s="12" t="s">
        <v>4026</v>
      </c>
      <c r="D10" s="12" t="n">
        <v>2018</v>
      </c>
      <c r="E10" s="12" t="s">
        <v>20</v>
      </c>
      <c r="F10" s="12" t="s">
        <v>2107</v>
      </c>
      <c r="G10" s="12" t="s">
        <v>1191</v>
      </c>
    </row>
    <row r="11" customFormat="false" ht="15" hidden="false" customHeight="false" outlineLevel="0" collapsed="false">
      <c r="A11" s="12" t="s">
        <v>4027</v>
      </c>
      <c r="B11" s="12" t="s">
        <v>4028</v>
      </c>
      <c r="C11" s="12" t="s">
        <v>4029</v>
      </c>
      <c r="D11" s="12" t="s">
        <v>4030</v>
      </c>
      <c r="E11" s="12" t="s">
        <v>4031</v>
      </c>
      <c r="F11" s="12" t="s">
        <v>2742</v>
      </c>
      <c r="G11" s="12" t="s">
        <v>2746</v>
      </c>
    </row>
    <row r="12" customFormat="false" ht="15" hidden="false" customHeight="false" outlineLevel="0" collapsed="false">
      <c r="A12" s="12" t="s">
        <v>4032</v>
      </c>
      <c r="B12" s="12" t="s">
        <v>2631</v>
      </c>
      <c r="C12" s="12" t="s">
        <v>4033</v>
      </c>
      <c r="D12" s="12" t="s">
        <v>4034</v>
      </c>
      <c r="E12" s="12" t="s">
        <v>483</v>
      </c>
      <c r="F12" s="12" t="s">
        <v>2630</v>
      </c>
      <c r="G12" s="12" t="s">
        <v>502</v>
      </c>
    </row>
    <row r="13" customFormat="false" ht="15" hidden="false" customHeight="false" outlineLevel="0" collapsed="false">
      <c r="A13" s="12" t="s">
        <v>4035</v>
      </c>
      <c r="B13" s="12" t="s">
        <v>4036</v>
      </c>
      <c r="C13" s="12" t="s">
        <v>4037</v>
      </c>
      <c r="D13" s="12" t="s">
        <v>4038</v>
      </c>
      <c r="E13" s="12" t="s">
        <v>483</v>
      </c>
      <c r="F13" s="12" t="s">
        <v>1589</v>
      </c>
      <c r="G13" s="12" t="s">
        <v>489</v>
      </c>
    </row>
    <row r="14" customFormat="false" ht="15" hidden="false" customHeight="false" outlineLevel="0" collapsed="false">
      <c r="A14" s="12" t="s">
        <v>4039</v>
      </c>
      <c r="B14" s="12" t="s">
        <v>4040</v>
      </c>
      <c r="C14" s="12" t="s">
        <v>4041</v>
      </c>
      <c r="D14" s="12" t="s">
        <v>4042</v>
      </c>
      <c r="E14" s="12" t="s">
        <v>20</v>
      </c>
      <c r="F14" s="12" t="s">
        <v>2012</v>
      </c>
      <c r="G14" s="12" t="s">
        <v>1046</v>
      </c>
    </row>
    <row r="15" customFormat="false" ht="15" hidden="false" customHeight="false" outlineLevel="0" collapsed="false">
      <c r="A15" s="12" t="s">
        <v>4043</v>
      </c>
      <c r="B15" s="12" t="s">
        <v>4044</v>
      </c>
      <c r="C15" s="12" t="s">
        <v>4045</v>
      </c>
      <c r="D15" s="12" t="s">
        <v>4046</v>
      </c>
      <c r="E15" s="12" t="s">
        <v>20</v>
      </c>
      <c r="F15" s="12" t="s">
        <v>1913</v>
      </c>
      <c r="G15" s="12" t="s">
        <v>928</v>
      </c>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60"/>
    <col collapsed="false" customWidth="true" hidden="false" outlineLevel="0" max="7" min="5" style="0" width="10"/>
    <col collapsed="false" customWidth="true" hidden="false" outlineLevel="0" max="8" min="8" style="0" width="15"/>
  </cols>
  <sheetData>
    <row r="1" customFormat="false" ht="15" hidden="false" customHeight="false" outlineLevel="0" collapsed="false">
      <c r="A1" s="11" t="s">
        <v>3995</v>
      </c>
      <c r="B1" s="11" t="s">
        <v>4047</v>
      </c>
      <c r="C1" s="11" t="s">
        <v>1445</v>
      </c>
      <c r="D1" s="11" t="s">
        <v>2334</v>
      </c>
      <c r="E1" s="11" t="s">
        <v>4048</v>
      </c>
      <c r="F1" s="11" t="s">
        <v>4049</v>
      </c>
      <c r="G1" s="11" t="s">
        <v>3533</v>
      </c>
      <c r="H1" s="11" t="s">
        <v>4050</v>
      </c>
    </row>
    <row r="2" customFormat="false" ht="15" hidden="false" customHeight="false" outlineLevel="0" collapsed="false">
      <c r="A2" s="12" t="s">
        <v>4051</v>
      </c>
      <c r="B2" s="12" t="s">
        <v>4052</v>
      </c>
      <c r="C2" s="12" t="n">
        <v>2025</v>
      </c>
      <c r="D2" s="12" t="s">
        <v>4053</v>
      </c>
      <c r="E2" s="12" t="s">
        <v>4054</v>
      </c>
      <c r="F2" s="12" t="s">
        <v>4055</v>
      </c>
      <c r="G2" s="12" t="s">
        <v>4056</v>
      </c>
      <c r="H2" s="12" t="s">
        <v>161</v>
      </c>
    </row>
    <row r="3" customFormat="false" ht="15" hidden="false" customHeight="false" outlineLevel="0" collapsed="false">
      <c r="A3" s="12" t="s">
        <v>4057</v>
      </c>
      <c r="B3" s="12" t="s">
        <v>4058</v>
      </c>
      <c r="C3" s="12" t="n">
        <v>2020</v>
      </c>
      <c r="D3" s="12" t="s">
        <v>4059</v>
      </c>
      <c r="E3" s="12" t="s">
        <v>4060</v>
      </c>
      <c r="F3" s="12" t="s">
        <v>4061</v>
      </c>
      <c r="G3" s="12" t="s">
        <v>4062</v>
      </c>
      <c r="H3" s="12" t="s">
        <v>161</v>
      </c>
    </row>
    <row r="4" customFormat="false" ht="15" hidden="false" customHeight="false" outlineLevel="0" collapsed="false">
      <c r="A4" s="12" t="s">
        <v>4063</v>
      </c>
      <c r="B4" s="12" t="s">
        <v>4064</v>
      </c>
      <c r="C4" s="12" t="n">
        <v>2022</v>
      </c>
      <c r="D4" s="12" t="s">
        <v>4065</v>
      </c>
      <c r="E4" s="12" t="s">
        <v>4066</v>
      </c>
      <c r="F4" s="12" t="s">
        <v>4067</v>
      </c>
      <c r="G4" s="12" t="s">
        <v>4068</v>
      </c>
      <c r="H4" s="12" t="s">
        <v>161</v>
      </c>
    </row>
    <row r="5" customFormat="false" ht="15" hidden="false" customHeight="false" outlineLevel="0" collapsed="false">
      <c r="A5" s="12" t="s">
        <v>4069</v>
      </c>
      <c r="B5" s="12" t="s">
        <v>4064</v>
      </c>
      <c r="C5" s="12" t="n">
        <v>2022</v>
      </c>
      <c r="D5" s="12" t="s">
        <v>4070</v>
      </c>
      <c r="E5" s="12" t="s">
        <v>4071</v>
      </c>
      <c r="F5" s="12" t="s">
        <v>4072</v>
      </c>
      <c r="G5" s="12" t="s">
        <v>4073</v>
      </c>
      <c r="H5" s="12" t="s">
        <v>161</v>
      </c>
    </row>
    <row r="6" customFormat="false" ht="15" hidden="false" customHeight="false" outlineLevel="0" collapsed="false">
      <c r="A6" s="12" t="s">
        <v>4074</v>
      </c>
      <c r="B6" s="12" t="s">
        <v>4075</v>
      </c>
      <c r="C6" s="12" t="n">
        <v>2021</v>
      </c>
      <c r="D6" s="12" t="s">
        <v>4076</v>
      </c>
      <c r="E6" s="12" t="s">
        <v>4077</v>
      </c>
      <c r="F6" s="12" t="s">
        <v>4078</v>
      </c>
      <c r="G6" s="12" t="s">
        <v>4079</v>
      </c>
      <c r="H6" s="12" t="s">
        <v>161</v>
      </c>
    </row>
    <row r="7" customFormat="false" ht="15" hidden="false" customHeight="false" outlineLevel="0" collapsed="false">
      <c r="A7" s="12" t="s">
        <v>4080</v>
      </c>
      <c r="B7" s="12" t="s">
        <v>4081</v>
      </c>
      <c r="C7" s="12" t="n">
        <v>2021</v>
      </c>
      <c r="D7" s="12" t="s">
        <v>4082</v>
      </c>
      <c r="E7" s="12" t="s">
        <v>4083</v>
      </c>
      <c r="F7" s="12" t="s">
        <v>4084</v>
      </c>
      <c r="G7" s="12" t="s">
        <v>4085</v>
      </c>
      <c r="H7" s="12" t="s">
        <v>161</v>
      </c>
    </row>
    <row r="8" customFormat="false" ht="15" hidden="false" customHeight="false" outlineLevel="0" collapsed="false">
      <c r="A8" s="12" t="s">
        <v>4086</v>
      </c>
      <c r="B8" s="12" t="s">
        <v>4087</v>
      </c>
      <c r="C8" s="12" t="n">
        <v>2018</v>
      </c>
      <c r="D8" s="12" t="s">
        <v>4088</v>
      </c>
      <c r="E8" s="12" t="s">
        <v>4089</v>
      </c>
      <c r="F8" s="12" t="s">
        <v>4090</v>
      </c>
      <c r="G8" s="12" t="s">
        <v>4091</v>
      </c>
      <c r="H8" s="12" t="s">
        <v>216</v>
      </c>
    </row>
    <row r="9" customFormat="false" ht="15" hidden="false" customHeight="false" outlineLevel="0" collapsed="false">
      <c r="A9" s="12" t="s">
        <v>4092</v>
      </c>
      <c r="B9" s="12" t="s">
        <v>4093</v>
      </c>
      <c r="C9" s="12" t="n">
        <v>2017</v>
      </c>
      <c r="D9" s="12" t="s">
        <v>4094</v>
      </c>
      <c r="E9" s="12" t="s">
        <v>4095</v>
      </c>
      <c r="F9" s="12" t="s">
        <v>4072</v>
      </c>
      <c r="G9" s="12" t="s">
        <v>4096</v>
      </c>
      <c r="H9" s="12" t="s">
        <v>216</v>
      </c>
    </row>
    <row r="10" customFormat="false" ht="15" hidden="false" customHeight="false" outlineLevel="0" collapsed="false">
      <c r="A10" s="12" t="s">
        <v>4097</v>
      </c>
      <c r="B10" s="12" t="s">
        <v>4098</v>
      </c>
      <c r="C10" s="12" t="n">
        <v>2021</v>
      </c>
      <c r="D10" s="12" t="s">
        <v>4099</v>
      </c>
      <c r="E10" s="12" t="s">
        <v>4100</v>
      </c>
      <c r="F10" s="12" t="s">
        <v>4072</v>
      </c>
      <c r="G10" s="12" t="s">
        <v>4101</v>
      </c>
      <c r="H10" s="12" t="s">
        <v>4102</v>
      </c>
    </row>
    <row r="11" customFormat="false" ht="15" hidden="false" customHeight="false" outlineLevel="0" collapsed="false">
      <c r="A11" s="12" t="s">
        <v>4103</v>
      </c>
      <c r="B11" s="12" t="s">
        <v>4104</v>
      </c>
      <c r="C11" s="12" t="n">
        <v>2021</v>
      </c>
      <c r="D11" s="12" t="s">
        <v>4105</v>
      </c>
      <c r="E11" s="12" t="s">
        <v>4106</v>
      </c>
      <c r="F11" s="12" t="s">
        <v>4072</v>
      </c>
      <c r="G11" s="12" t="s">
        <v>4107</v>
      </c>
      <c r="H11" s="12" t="s">
        <v>216</v>
      </c>
    </row>
    <row r="12" customFormat="false" ht="15" hidden="false" customHeight="false" outlineLevel="0" collapsed="false">
      <c r="A12" s="12" t="s">
        <v>4108</v>
      </c>
      <c r="B12" s="12" t="s">
        <v>4109</v>
      </c>
      <c r="C12" s="12" t="n">
        <v>2022</v>
      </c>
      <c r="D12" s="12" t="s">
        <v>4110</v>
      </c>
      <c r="E12" s="12" t="s">
        <v>4111</v>
      </c>
      <c r="F12" s="12" t="s">
        <v>4072</v>
      </c>
      <c r="G12" s="12" t="s">
        <v>4112</v>
      </c>
      <c r="H12" s="12" t="s">
        <v>216</v>
      </c>
    </row>
    <row r="13" customFormat="false" ht="15" hidden="false" customHeight="false" outlineLevel="0" collapsed="false">
      <c r="A13" s="12" t="s">
        <v>4113</v>
      </c>
      <c r="B13" s="12" t="s">
        <v>4114</v>
      </c>
      <c r="C13" s="12" t="n">
        <v>2023</v>
      </c>
      <c r="D13" s="12" t="s">
        <v>4115</v>
      </c>
      <c r="E13" s="12" t="s">
        <v>4116</v>
      </c>
      <c r="F13" s="12" t="s">
        <v>4072</v>
      </c>
      <c r="G13" s="12" t="s">
        <v>4117</v>
      </c>
      <c r="H13" s="12" t="s">
        <v>216</v>
      </c>
    </row>
    <row r="14" customFormat="false" ht="15" hidden="false" customHeight="false" outlineLevel="0" collapsed="false">
      <c r="A14" s="12" t="s">
        <v>4118</v>
      </c>
      <c r="B14" s="12" t="s">
        <v>4119</v>
      </c>
      <c r="C14" s="12" t="n">
        <v>2019</v>
      </c>
      <c r="D14" s="12" t="s">
        <v>4120</v>
      </c>
      <c r="E14" s="12" t="s">
        <v>4121</v>
      </c>
      <c r="F14" s="12" t="s">
        <v>4072</v>
      </c>
      <c r="G14" s="12" t="s">
        <v>4122</v>
      </c>
      <c r="H14" s="12" t="s">
        <v>216</v>
      </c>
    </row>
    <row r="15" customFormat="false" ht="15" hidden="false" customHeight="false" outlineLevel="0" collapsed="false">
      <c r="A15" s="12" t="s">
        <v>4123</v>
      </c>
      <c r="B15" s="12" t="s">
        <v>4124</v>
      </c>
      <c r="C15" s="12" t="s">
        <v>4125</v>
      </c>
      <c r="D15" s="12" t="s">
        <v>4126</v>
      </c>
      <c r="E15" s="12" t="s">
        <v>4127</v>
      </c>
      <c r="F15" s="12" t="s">
        <v>4128</v>
      </c>
      <c r="G15" s="12" t="s">
        <v>4129</v>
      </c>
      <c r="H15" s="12" t="s">
        <v>215</v>
      </c>
    </row>
    <row r="16" customFormat="false" ht="15" hidden="false" customHeight="false" outlineLevel="0" collapsed="false">
      <c r="A16" s="12" t="s">
        <v>4130</v>
      </c>
      <c r="B16" s="12" t="s">
        <v>4131</v>
      </c>
      <c r="C16" s="12" t="n">
        <v>2025</v>
      </c>
      <c r="D16" s="12" t="s">
        <v>4132</v>
      </c>
      <c r="E16" s="12" t="s">
        <v>4133</v>
      </c>
      <c r="F16" s="12" t="s">
        <v>4134</v>
      </c>
      <c r="G16" s="12" t="s">
        <v>4135</v>
      </c>
      <c r="H16" s="12" t="s">
        <v>161</v>
      </c>
    </row>
    <row r="17" customFormat="false" ht="15" hidden="false" customHeight="false" outlineLevel="0" collapsed="false">
      <c r="A17" s="12" t="s">
        <v>4136</v>
      </c>
      <c r="B17" s="12" t="s">
        <v>4137</v>
      </c>
      <c r="C17" s="12" t="n">
        <v>2026</v>
      </c>
      <c r="D17" s="12" t="s">
        <v>4138</v>
      </c>
      <c r="E17" s="12" t="s">
        <v>4139</v>
      </c>
      <c r="F17" s="12" t="s">
        <v>1288</v>
      </c>
      <c r="G17" s="12" t="s">
        <v>4140</v>
      </c>
      <c r="H17" s="12" t="s">
        <v>161</v>
      </c>
    </row>
  </sheetData>
  <autoFilter ref="A1:H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4" min="2" style="0" width="10"/>
  </cols>
  <sheetData>
    <row r="1" customFormat="false" ht="15" hidden="false" customHeight="false" outlineLevel="0" collapsed="false">
      <c r="A1" s="11" t="s">
        <v>4141</v>
      </c>
      <c r="B1" s="11" t="s">
        <v>3472</v>
      </c>
      <c r="C1" s="11" t="s">
        <v>4142</v>
      </c>
      <c r="D1" s="11" t="s">
        <v>4143</v>
      </c>
    </row>
    <row r="2" customFormat="false" ht="15" hidden="false" customHeight="false" outlineLevel="0" collapsed="false">
      <c r="A2" s="12" t="s">
        <v>4144</v>
      </c>
      <c r="B2" s="12" t="s">
        <v>4145</v>
      </c>
      <c r="C2" s="12" t="s">
        <v>4146</v>
      </c>
      <c r="D2" s="12" t="s">
        <v>4147</v>
      </c>
    </row>
    <row r="3" customFormat="false" ht="15" hidden="false" customHeight="false" outlineLevel="0" collapsed="false">
      <c r="A3" s="12" t="s">
        <v>4148</v>
      </c>
      <c r="B3" s="12" t="s">
        <v>4149</v>
      </c>
      <c r="C3" s="12" t="s">
        <v>4150</v>
      </c>
      <c r="D3" s="12" t="s">
        <v>4151</v>
      </c>
    </row>
    <row r="4" customFormat="false" ht="15" hidden="false" customHeight="false" outlineLevel="0" collapsed="false">
      <c r="A4" s="12" t="s">
        <v>4152</v>
      </c>
      <c r="B4" s="12" t="s">
        <v>4153</v>
      </c>
      <c r="C4" s="12" t="s">
        <v>4146</v>
      </c>
      <c r="D4" s="12" t="s">
        <v>4154</v>
      </c>
    </row>
    <row r="5" customFormat="false" ht="15" hidden="false" customHeight="false" outlineLevel="0" collapsed="false">
      <c r="A5" s="12" t="s">
        <v>4155</v>
      </c>
      <c r="B5" s="12" t="s">
        <v>4156</v>
      </c>
      <c r="C5" s="12" t="s">
        <v>4157</v>
      </c>
      <c r="D5" s="12" t="s">
        <v>4158</v>
      </c>
    </row>
    <row r="6" customFormat="false" ht="15" hidden="false" customHeight="false" outlineLevel="0" collapsed="false">
      <c r="A6" s="12" t="s">
        <v>4159</v>
      </c>
      <c r="B6" s="12" t="s">
        <v>4160</v>
      </c>
      <c r="C6" s="12" t="n">
        <v>2025</v>
      </c>
      <c r="D6" s="12" t="s">
        <v>4161</v>
      </c>
    </row>
    <row r="7" customFormat="false" ht="15" hidden="false" customHeight="false" outlineLevel="0" collapsed="false">
      <c r="A7" s="12" t="s">
        <v>4162</v>
      </c>
      <c r="B7" s="12" t="s">
        <v>4163</v>
      </c>
      <c r="C7" s="12" t="s">
        <v>4164</v>
      </c>
      <c r="D7" s="12" t="s">
        <v>4165</v>
      </c>
    </row>
    <row r="8" customFormat="false" ht="15" hidden="false" customHeight="false" outlineLevel="0" collapsed="false">
      <c r="A8" s="12" t="s">
        <v>4166</v>
      </c>
      <c r="B8" s="12" t="s">
        <v>4167</v>
      </c>
      <c r="C8" s="12" t="n">
        <v>2025</v>
      </c>
      <c r="D8" s="12" t="s">
        <v>4168</v>
      </c>
    </row>
    <row r="9" customFormat="false" ht="15" hidden="false" customHeight="false" outlineLevel="0" collapsed="false">
      <c r="A9" s="12" t="s">
        <v>4169</v>
      </c>
      <c r="B9" s="12" t="s">
        <v>4170</v>
      </c>
      <c r="C9" s="12" t="s">
        <v>4171</v>
      </c>
      <c r="D9" s="12" t="s">
        <v>4172</v>
      </c>
    </row>
    <row r="10" customFormat="false" ht="15" hidden="false" customHeight="false" outlineLevel="0" collapsed="false">
      <c r="A10" s="12" t="s">
        <v>4173</v>
      </c>
      <c r="B10" s="12" t="s">
        <v>4174</v>
      </c>
      <c r="C10" s="12" t="s">
        <v>4171</v>
      </c>
      <c r="D10" s="12" t="s">
        <v>4172</v>
      </c>
    </row>
    <row r="11" customFormat="false" ht="15" hidden="false" customHeight="false" outlineLevel="0" collapsed="false">
      <c r="A11" s="12" t="s">
        <v>4175</v>
      </c>
      <c r="B11" s="12" t="s">
        <v>4176</v>
      </c>
      <c r="C11" s="12" t="s">
        <v>4177</v>
      </c>
      <c r="D11" s="12" t="s">
        <v>4178</v>
      </c>
    </row>
    <row r="12" customFormat="false" ht="15" hidden="false" customHeight="false" outlineLevel="0" collapsed="false">
      <c r="A12" s="12" t="s">
        <v>4179</v>
      </c>
      <c r="B12" s="12" t="s">
        <v>4180</v>
      </c>
      <c r="C12" s="12" t="s">
        <v>4177</v>
      </c>
      <c r="D12" s="12" t="s">
        <v>4181</v>
      </c>
    </row>
    <row r="13" customFormat="false" ht="15" hidden="false" customHeight="false" outlineLevel="0" collapsed="false">
      <c r="A13" s="12" t="s">
        <v>4182</v>
      </c>
      <c r="B13" s="12" t="s">
        <v>4183</v>
      </c>
      <c r="C13" s="12" t="s">
        <v>4184</v>
      </c>
      <c r="D13" s="12" t="s">
        <v>4185</v>
      </c>
    </row>
    <row r="14" customFormat="false" ht="15" hidden="false" customHeight="false" outlineLevel="0" collapsed="false">
      <c r="A14" s="12" t="s">
        <v>4186</v>
      </c>
      <c r="B14" s="12" t="s">
        <v>4187</v>
      </c>
      <c r="C14" s="12" t="s">
        <v>4188</v>
      </c>
      <c r="D14" s="12" t="s">
        <v>4189</v>
      </c>
    </row>
    <row r="15" customFormat="false" ht="15" hidden="false" customHeight="false" outlineLevel="0" collapsed="false">
      <c r="A15" s="12" t="s">
        <v>4190</v>
      </c>
      <c r="B15" s="12" t="s">
        <v>4191</v>
      </c>
      <c r="C15" s="12" t="s">
        <v>4192</v>
      </c>
      <c r="D15" s="12" t="s">
        <v>4193</v>
      </c>
    </row>
    <row r="16" customFormat="false" ht="15" hidden="false" customHeight="false" outlineLevel="0" collapsed="false">
      <c r="A16" s="12" t="s">
        <v>4194</v>
      </c>
      <c r="B16" s="12" t="s">
        <v>4195</v>
      </c>
      <c r="C16" s="12" t="n">
        <v>2025</v>
      </c>
      <c r="D16" s="12" t="s">
        <v>4196</v>
      </c>
    </row>
    <row r="17" customFormat="false" ht="15" hidden="false" customHeight="false" outlineLevel="0" collapsed="false">
      <c r="A17" s="12" t="s">
        <v>4197</v>
      </c>
      <c r="B17" s="12" t="s">
        <v>4198</v>
      </c>
      <c r="C17" s="12" t="n">
        <v>2025</v>
      </c>
      <c r="D17" s="12" t="s">
        <v>4193</v>
      </c>
    </row>
    <row r="18" customFormat="false" ht="15" hidden="false" customHeight="false" outlineLevel="0" collapsed="false">
      <c r="A18" s="12" t="s">
        <v>4199</v>
      </c>
      <c r="B18" s="12" t="s">
        <v>4200</v>
      </c>
      <c r="C18" s="12" t="s">
        <v>4201</v>
      </c>
      <c r="D18" s="12" t="s">
        <v>4158</v>
      </c>
    </row>
  </sheetData>
  <autoFilter ref="A1: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4"/>
    <col collapsed="false" customWidth="true" hidden="false" outlineLevel="0" max="4" min="4" style="0" width="12"/>
  </cols>
  <sheetData>
    <row r="1" customFormat="false" ht="15" hidden="false" customHeight="false" outlineLevel="0" collapsed="false">
      <c r="A1" s="11" t="s">
        <v>4202</v>
      </c>
      <c r="B1" s="11" t="s">
        <v>4203</v>
      </c>
      <c r="C1" s="11" t="s">
        <v>4204</v>
      </c>
      <c r="D1" s="11" t="s">
        <v>3999</v>
      </c>
    </row>
    <row r="2" customFormat="false" ht="15" hidden="false" customHeight="false" outlineLevel="0" collapsed="false">
      <c r="A2" s="12" t="s">
        <v>4205</v>
      </c>
      <c r="B2" s="12" t="s">
        <v>2631</v>
      </c>
      <c r="C2" s="12" t="s">
        <v>4206</v>
      </c>
      <c r="D2" s="12" t="s">
        <v>4207</v>
      </c>
    </row>
    <row r="3" customFormat="false" ht="15" hidden="false" customHeight="false" outlineLevel="0" collapsed="false">
      <c r="A3" s="12" t="s">
        <v>4208</v>
      </c>
      <c r="B3" s="12" t="s">
        <v>4209</v>
      </c>
      <c r="C3" s="12" t="s">
        <v>4210</v>
      </c>
      <c r="D3" s="12" t="s">
        <v>1288</v>
      </c>
    </row>
    <row r="4" customFormat="false" ht="15" hidden="false" customHeight="false" outlineLevel="0" collapsed="false">
      <c r="A4" s="12" t="s">
        <v>4211</v>
      </c>
      <c r="B4" s="12" t="s">
        <v>4212</v>
      </c>
      <c r="C4" s="12" t="s">
        <v>4213</v>
      </c>
      <c r="D4" s="12" t="s">
        <v>4214</v>
      </c>
    </row>
    <row r="5" customFormat="false" ht="15" hidden="false" customHeight="false" outlineLevel="0" collapsed="false">
      <c r="A5" s="12" t="s">
        <v>4215</v>
      </c>
      <c r="B5" s="12" t="s">
        <v>4216</v>
      </c>
      <c r="C5" s="12" t="s">
        <v>4217</v>
      </c>
      <c r="D5" s="12" t="s">
        <v>4218</v>
      </c>
    </row>
    <row r="6" customFormat="false" ht="15" hidden="false" customHeight="false" outlineLevel="0" collapsed="false">
      <c r="A6" s="12" t="s">
        <v>4219</v>
      </c>
      <c r="B6" s="12" t="s">
        <v>4220</v>
      </c>
      <c r="C6" s="12" t="s">
        <v>4221</v>
      </c>
      <c r="D6" s="12" t="s">
        <v>4222</v>
      </c>
    </row>
    <row r="7" customFormat="false" ht="15" hidden="false" customHeight="false" outlineLevel="0" collapsed="false">
      <c r="A7" s="12" t="s">
        <v>4223</v>
      </c>
      <c r="B7" s="12" t="s">
        <v>4224</v>
      </c>
      <c r="C7" s="12" t="s">
        <v>4225</v>
      </c>
      <c r="D7" s="12" t="s">
        <v>4226</v>
      </c>
    </row>
    <row r="8" customFormat="false" ht="15" hidden="false" customHeight="false" outlineLevel="0" collapsed="false">
      <c r="A8" s="12" t="s">
        <v>4227</v>
      </c>
      <c r="B8" s="12" t="s">
        <v>4228</v>
      </c>
      <c r="C8" s="12" t="s">
        <v>4229</v>
      </c>
      <c r="D8" s="12" t="s">
        <v>4230</v>
      </c>
    </row>
    <row r="9" customFormat="false" ht="15" hidden="false" customHeight="false" outlineLevel="0" collapsed="false">
      <c r="A9" s="12" t="s">
        <v>4231</v>
      </c>
      <c r="B9" s="12" t="s">
        <v>4232</v>
      </c>
      <c r="C9" s="12" t="s">
        <v>4233</v>
      </c>
      <c r="D9" s="12" t="s">
        <v>4234</v>
      </c>
    </row>
    <row r="10" customFormat="false" ht="15" hidden="false" customHeight="false" outlineLevel="0" collapsed="false">
      <c r="A10" s="12" t="s">
        <v>4235</v>
      </c>
      <c r="B10" s="12" t="s">
        <v>4236</v>
      </c>
      <c r="C10" s="12" t="s">
        <v>4237</v>
      </c>
      <c r="D10" s="12" t="s">
        <v>4234</v>
      </c>
    </row>
    <row r="11" customFormat="false" ht="15" hidden="false" customHeight="false" outlineLevel="0" collapsed="false">
      <c r="A11" s="12" t="s">
        <v>4238</v>
      </c>
      <c r="B11" s="12" t="s">
        <v>4239</v>
      </c>
      <c r="C11" s="12" t="s">
        <v>4240</v>
      </c>
      <c r="D11" s="12" t="s">
        <v>4241</v>
      </c>
    </row>
    <row r="12" customFormat="false" ht="15" hidden="false" customHeight="false" outlineLevel="0" collapsed="false">
      <c r="A12" s="12" t="s">
        <v>4242</v>
      </c>
      <c r="B12" s="12" t="s">
        <v>4243</v>
      </c>
      <c r="C12" s="12" t="s">
        <v>4244</v>
      </c>
      <c r="D12" s="12" t="s">
        <v>4245</v>
      </c>
    </row>
  </sheetData>
  <autoFilter ref="A1:D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3"/>
    <col collapsed="false" customWidth="true" hidden="false" outlineLevel="0" max="4" min="4" style="0" width="10"/>
    <col collapsed="false" customWidth="true" hidden="false" outlineLevel="0" max="5" min="5" style="0" width="90"/>
    <col collapsed="false" customWidth="true" hidden="false" outlineLevel="0" max="6" min="6" style="0" width="10"/>
  </cols>
  <sheetData>
    <row r="1" customFormat="false" ht="15" hidden="false" customHeight="false" outlineLevel="0" collapsed="false">
      <c r="A1" s="11" t="s">
        <v>4246</v>
      </c>
      <c r="B1" s="11" t="s">
        <v>1371</v>
      </c>
      <c r="C1" s="11" t="s">
        <v>4247</v>
      </c>
      <c r="D1" s="11" t="s">
        <v>4248</v>
      </c>
      <c r="E1" s="11" t="s">
        <v>88</v>
      </c>
      <c r="F1" s="11" t="s">
        <v>4143</v>
      </c>
    </row>
    <row r="2" customFormat="false" ht="15" hidden="false" customHeight="false" outlineLevel="0" collapsed="false">
      <c r="A2" s="12" t="s">
        <v>2755</v>
      </c>
      <c r="B2" s="12" t="s">
        <v>174</v>
      </c>
      <c r="C2" s="12" t="s">
        <v>4249</v>
      </c>
      <c r="D2" s="12" t="s">
        <v>1671</v>
      </c>
      <c r="E2" s="13" t="s">
        <v>4250</v>
      </c>
      <c r="F2" s="12"/>
    </row>
    <row r="3" customFormat="false" ht="15" hidden="false" customHeight="false" outlineLevel="0" collapsed="false">
      <c r="A3" s="12" t="s">
        <v>2755</v>
      </c>
      <c r="B3" s="12" t="s">
        <v>174</v>
      </c>
      <c r="C3" s="12" t="s">
        <v>4249</v>
      </c>
      <c r="D3" s="12" t="s">
        <v>1709</v>
      </c>
      <c r="E3" s="13" t="s">
        <v>4251</v>
      </c>
      <c r="F3" s="12"/>
    </row>
    <row r="4" customFormat="false" ht="15" hidden="false" customHeight="false" outlineLevel="0" collapsed="false">
      <c r="A4" s="12" t="s">
        <v>2755</v>
      </c>
      <c r="B4" s="12" t="s">
        <v>174</v>
      </c>
      <c r="C4" s="12" t="s">
        <v>4252</v>
      </c>
      <c r="D4" s="12" t="s">
        <v>1248</v>
      </c>
      <c r="E4" s="13" t="s">
        <v>4253</v>
      </c>
      <c r="F4" s="12" t="s">
        <v>4254</v>
      </c>
    </row>
    <row r="5" customFormat="false" ht="23.85" hidden="false" customHeight="false" outlineLevel="0" collapsed="false">
      <c r="A5" s="12" t="s">
        <v>2755</v>
      </c>
      <c r="B5" s="12" t="s">
        <v>174</v>
      </c>
      <c r="C5" s="12" t="s">
        <v>4255</v>
      </c>
      <c r="D5" s="12" t="s">
        <v>365</v>
      </c>
      <c r="E5" s="13" t="s">
        <v>4256</v>
      </c>
      <c r="F5" s="12"/>
    </row>
    <row r="6" customFormat="false" ht="23.85" hidden="false" customHeight="false" outlineLevel="0" collapsed="false">
      <c r="A6" s="12" t="s">
        <v>2755</v>
      </c>
      <c r="B6" s="12" t="s">
        <v>174</v>
      </c>
      <c r="C6" s="12" t="s">
        <v>4257</v>
      </c>
      <c r="D6" s="12" t="s">
        <v>365</v>
      </c>
      <c r="E6" s="13" t="s">
        <v>4258</v>
      </c>
      <c r="F6" s="12"/>
    </row>
    <row r="7" customFormat="false" ht="23.85" hidden="false" customHeight="false" outlineLevel="0" collapsed="false">
      <c r="A7" s="12" t="s">
        <v>2755</v>
      </c>
      <c r="B7" s="12" t="s">
        <v>174</v>
      </c>
      <c r="C7" s="12" t="s">
        <v>4259</v>
      </c>
      <c r="D7" s="12" t="s">
        <v>365</v>
      </c>
      <c r="E7" s="13" t="s">
        <v>4260</v>
      </c>
      <c r="F7" s="12"/>
    </row>
    <row r="8" customFormat="false" ht="23.85" hidden="false" customHeight="false" outlineLevel="0" collapsed="false">
      <c r="A8" s="12" t="s">
        <v>2755</v>
      </c>
      <c r="B8" s="12" t="s">
        <v>174</v>
      </c>
      <c r="C8" s="12" t="s">
        <v>4259</v>
      </c>
      <c r="D8" s="12" t="s">
        <v>647</v>
      </c>
      <c r="E8" s="13" t="s">
        <v>4261</v>
      </c>
      <c r="F8" s="12"/>
    </row>
    <row r="9" customFormat="false" ht="23.85" hidden="false" customHeight="false" outlineLevel="0" collapsed="false">
      <c r="A9" s="12" t="s">
        <v>2755</v>
      </c>
      <c r="B9" s="12" t="s">
        <v>174</v>
      </c>
      <c r="C9" s="12" t="s">
        <v>4255</v>
      </c>
      <c r="D9" s="12" t="s">
        <v>761</v>
      </c>
      <c r="E9" s="13" t="s">
        <v>4262</v>
      </c>
      <c r="F9" s="12"/>
    </row>
    <row r="10" customFormat="false" ht="23.85" hidden="false" customHeight="false" outlineLevel="0" collapsed="false">
      <c r="A10" s="12" t="s">
        <v>2755</v>
      </c>
      <c r="B10" s="12" t="s">
        <v>174</v>
      </c>
      <c r="C10" s="12" t="s">
        <v>4257</v>
      </c>
      <c r="D10" s="12" t="s">
        <v>761</v>
      </c>
      <c r="E10" s="13" t="s">
        <v>4263</v>
      </c>
      <c r="F10" s="12"/>
    </row>
    <row r="11" customFormat="false" ht="23.85" hidden="false" customHeight="false" outlineLevel="0" collapsed="false">
      <c r="A11" s="12" t="s">
        <v>2755</v>
      </c>
      <c r="B11" s="12" t="s">
        <v>174</v>
      </c>
      <c r="C11" s="12" t="s">
        <v>4259</v>
      </c>
      <c r="D11" s="12" t="s">
        <v>761</v>
      </c>
      <c r="E11" s="13" t="s">
        <v>4264</v>
      </c>
      <c r="F11" s="12"/>
    </row>
    <row r="12" customFormat="false" ht="23.85" hidden="false" customHeight="false" outlineLevel="0" collapsed="false">
      <c r="A12" s="12" t="s">
        <v>2755</v>
      </c>
      <c r="B12" s="12" t="s">
        <v>174</v>
      </c>
      <c r="C12" s="12" t="s">
        <v>4255</v>
      </c>
      <c r="D12" s="12" t="s">
        <v>770</v>
      </c>
      <c r="E12" s="13" t="s">
        <v>4265</v>
      </c>
      <c r="F12" s="12"/>
    </row>
    <row r="13" customFormat="false" ht="23.85" hidden="false" customHeight="false" outlineLevel="0" collapsed="false">
      <c r="A13" s="12" t="s">
        <v>2755</v>
      </c>
      <c r="B13" s="12" t="s">
        <v>174</v>
      </c>
      <c r="C13" s="12" t="s">
        <v>4257</v>
      </c>
      <c r="D13" s="12" t="s">
        <v>770</v>
      </c>
      <c r="E13" s="13" t="s">
        <v>4266</v>
      </c>
      <c r="F13" s="12"/>
    </row>
    <row r="14" customFormat="false" ht="15" hidden="false" customHeight="false" outlineLevel="0" collapsed="false">
      <c r="A14" s="12" t="s">
        <v>2755</v>
      </c>
      <c r="B14" s="12" t="s">
        <v>174</v>
      </c>
      <c r="C14" s="12" t="s">
        <v>4267</v>
      </c>
      <c r="D14" s="12" t="s">
        <v>770</v>
      </c>
      <c r="E14" s="13" t="s">
        <v>4268</v>
      </c>
      <c r="F14" s="12"/>
    </row>
    <row r="15" customFormat="false" ht="23.85" hidden="false" customHeight="false" outlineLevel="0" collapsed="false">
      <c r="A15" s="12" t="s">
        <v>2755</v>
      </c>
      <c r="B15" s="12" t="s">
        <v>174</v>
      </c>
      <c r="C15" s="12" t="s">
        <v>4255</v>
      </c>
      <c r="D15" s="12" t="s">
        <v>859</v>
      </c>
      <c r="E15" s="13" t="s">
        <v>4269</v>
      </c>
      <c r="F15" s="12"/>
    </row>
    <row r="16" customFormat="false" ht="15" hidden="false" customHeight="false" outlineLevel="0" collapsed="false">
      <c r="A16" s="12" t="s">
        <v>2755</v>
      </c>
      <c r="B16" s="12" t="s">
        <v>174</v>
      </c>
      <c r="C16" s="12" t="s">
        <v>4259</v>
      </c>
      <c r="D16" s="12" t="s">
        <v>859</v>
      </c>
      <c r="E16" s="13" t="s">
        <v>4270</v>
      </c>
      <c r="F16" s="12"/>
    </row>
    <row r="17" customFormat="false" ht="15" hidden="false" customHeight="false" outlineLevel="0" collapsed="false">
      <c r="A17" s="12" t="s">
        <v>2755</v>
      </c>
      <c r="B17" s="12" t="s">
        <v>174</v>
      </c>
      <c r="C17" s="12" t="s">
        <v>4259</v>
      </c>
      <c r="D17" s="12" t="s">
        <v>907</v>
      </c>
      <c r="E17" s="13" t="s">
        <v>4271</v>
      </c>
      <c r="F17" s="12"/>
    </row>
    <row r="18" customFormat="false" ht="23.85" hidden="false" customHeight="false" outlineLevel="0" collapsed="false">
      <c r="A18" s="12" t="s">
        <v>2755</v>
      </c>
      <c r="B18" s="12" t="s">
        <v>174</v>
      </c>
      <c r="C18" s="12" t="s">
        <v>4255</v>
      </c>
      <c r="D18" s="12" t="s">
        <v>783</v>
      </c>
      <c r="E18" s="13" t="s">
        <v>4272</v>
      </c>
      <c r="F18" s="12"/>
    </row>
    <row r="19" customFormat="false" ht="15" hidden="false" customHeight="false" outlineLevel="0" collapsed="false">
      <c r="A19" s="12" t="s">
        <v>2755</v>
      </c>
      <c r="B19" s="12" t="s">
        <v>174</v>
      </c>
      <c r="C19" s="12" t="s">
        <v>4257</v>
      </c>
      <c r="D19" s="12" t="s">
        <v>783</v>
      </c>
      <c r="E19" s="13" t="s">
        <v>4273</v>
      </c>
      <c r="F19" s="12"/>
    </row>
    <row r="20" customFormat="false" ht="23.85" hidden="false" customHeight="false" outlineLevel="0" collapsed="false">
      <c r="A20" s="12" t="s">
        <v>2755</v>
      </c>
      <c r="B20" s="12" t="s">
        <v>174</v>
      </c>
      <c r="C20" s="12" t="s">
        <v>4274</v>
      </c>
      <c r="D20" s="12" t="s">
        <v>783</v>
      </c>
      <c r="E20" s="13" t="s">
        <v>941</v>
      </c>
      <c r="F20" s="12"/>
    </row>
    <row r="21" customFormat="false" ht="23.85" hidden="false" customHeight="false" outlineLevel="0" collapsed="false">
      <c r="A21" s="12" t="s">
        <v>2755</v>
      </c>
      <c r="B21" s="12" t="s">
        <v>174</v>
      </c>
      <c r="C21" s="12" t="s">
        <v>4275</v>
      </c>
      <c r="D21" s="12" t="s">
        <v>783</v>
      </c>
      <c r="E21" s="13" t="s">
        <v>4276</v>
      </c>
      <c r="F21" s="12"/>
    </row>
    <row r="22" customFormat="false" ht="23.85" hidden="false" customHeight="false" outlineLevel="0" collapsed="false">
      <c r="A22" s="12" t="s">
        <v>2755</v>
      </c>
      <c r="B22" s="12" t="s">
        <v>174</v>
      </c>
      <c r="C22" s="12" t="s">
        <v>4259</v>
      </c>
      <c r="D22" s="12" t="s">
        <v>1327</v>
      </c>
      <c r="E22" s="13" t="s">
        <v>4277</v>
      </c>
      <c r="F22" s="12"/>
    </row>
    <row r="23" customFormat="false" ht="23.85" hidden="false" customHeight="false" outlineLevel="0" collapsed="false">
      <c r="A23" s="12" t="s">
        <v>2755</v>
      </c>
      <c r="B23" s="12" t="s">
        <v>174</v>
      </c>
      <c r="C23" s="12" t="s">
        <v>4255</v>
      </c>
      <c r="D23" s="12" t="s">
        <v>1147</v>
      </c>
      <c r="E23" s="13" t="s">
        <v>4278</v>
      </c>
      <c r="F23" s="12"/>
    </row>
    <row r="24" customFormat="false" ht="23.85" hidden="false" customHeight="false" outlineLevel="0" collapsed="false">
      <c r="A24" s="12" t="s">
        <v>2755</v>
      </c>
      <c r="B24" s="12" t="s">
        <v>174</v>
      </c>
      <c r="C24" s="12" t="s">
        <v>4257</v>
      </c>
      <c r="D24" s="12" t="s">
        <v>1147</v>
      </c>
      <c r="E24" s="13" t="s">
        <v>4279</v>
      </c>
      <c r="F24" s="12"/>
    </row>
    <row r="25" customFormat="false" ht="23.85" hidden="false" customHeight="false" outlineLevel="0" collapsed="false">
      <c r="A25" s="12" t="s">
        <v>2755</v>
      </c>
      <c r="B25" s="12" t="s">
        <v>174</v>
      </c>
      <c r="C25" s="12" t="s">
        <v>4255</v>
      </c>
      <c r="D25" s="12" t="s">
        <v>1156</v>
      </c>
      <c r="E25" s="13" t="s">
        <v>4280</v>
      </c>
      <c r="F25" s="12"/>
    </row>
    <row r="26" customFormat="false" ht="23.85" hidden="false" customHeight="false" outlineLevel="0" collapsed="false">
      <c r="A26" s="12" t="s">
        <v>2755</v>
      </c>
      <c r="B26" s="12" t="s">
        <v>174</v>
      </c>
      <c r="C26" s="12" t="s">
        <v>4257</v>
      </c>
      <c r="D26" s="12" t="s">
        <v>1156</v>
      </c>
      <c r="E26" s="13" t="s">
        <v>4281</v>
      </c>
      <c r="F26" s="12"/>
    </row>
    <row r="27" customFormat="false" ht="23.85" hidden="false" customHeight="false" outlineLevel="0" collapsed="false">
      <c r="A27" s="12" t="s">
        <v>2755</v>
      </c>
      <c r="B27" s="12" t="s">
        <v>174</v>
      </c>
      <c r="C27" s="12" t="s">
        <v>4257</v>
      </c>
      <c r="D27" s="12" t="s">
        <v>1206</v>
      </c>
      <c r="E27" s="13" t="s">
        <v>4282</v>
      </c>
      <c r="F27" s="12"/>
    </row>
    <row r="28" customFormat="false" ht="35.05" hidden="false" customHeight="false" outlineLevel="0" collapsed="false">
      <c r="A28" s="12" t="s">
        <v>2755</v>
      </c>
      <c r="B28" s="12" t="s">
        <v>174</v>
      </c>
      <c r="C28" s="12" t="s">
        <v>4267</v>
      </c>
      <c r="D28" s="12" t="s">
        <v>1231</v>
      </c>
      <c r="E28" s="13" t="s">
        <v>4283</v>
      </c>
      <c r="F28" s="12"/>
    </row>
    <row r="29" customFormat="false" ht="23.85" hidden="false" customHeight="false" outlineLevel="0" collapsed="false">
      <c r="A29" s="12" t="s">
        <v>2755</v>
      </c>
      <c r="B29" s="12" t="s">
        <v>174</v>
      </c>
      <c r="C29" s="12" t="s">
        <v>4267</v>
      </c>
      <c r="D29" s="12" t="s">
        <v>433</v>
      </c>
      <c r="E29" s="13" t="s">
        <v>4284</v>
      </c>
      <c r="F29" s="12"/>
    </row>
    <row r="30" customFormat="false" ht="23.85" hidden="false" customHeight="false" outlineLevel="0" collapsed="false">
      <c r="A30" s="12" t="s">
        <v>2755</v>
      </c>
      <c r="B30" s="12" t="s">
        <v>174</v>
      </c>
      <c r="C30" s="12" t="s">
        <v>4274</v>
      </c>
      <c r="D30" s="12" t="s">
        <v>442</v>
      </c>
      <c r="E30" s="13" t="s">
        <v>4285</v>
      </c>
      <c r="F30" s="12"/>
    </row>
    <row r="31" customFormat="false" ht="35.05" hidden="false" customHeight="false" outlineLevel="0" collapsed="false">
      <c r="A31" s="12" t="s">
        <v>2755</v>
      </c>
      <c r="B31" s="12" t="s">
        <v>174</v>
      </c>
      <c r="C31" s="12" t="s">
        <v>4286</v>
      </c>
      <c r="D31" s="12" t="s">
        <v>251</v>
      </c>
      <c r="E31" s="13" t="s">
        <v>4287</v>
      </c>
      <c r="F31" s="12"/>
    </row>
    <row r="32" customFormat="false" ht="23.85" hidden="false" customHeight="false" outlineLevel="0" collapsed="false">
      <c r="A32" s="12" t="s">
        <v>2755</v>
      </c>
      <c r="B32" s="12" t="s">
        <v>174</v>
      </c>
      <c r="C32" s="12" t="s">
        <v>4286</v>
      </c>
      <c r="D32" s="12" t="s">
        <v>1087</v>
      </c>
      <c r="E32" s="13" t="s">
        <v>4288</v>
      </c>
      <c r="F32" s="12"/>
    </row>
    <row r="33" customFormat="false" ht="15" hidden="false" customHeight="false" outlineLevel="0" collapsed="false">
      <c r="A33" s="12" t="s">
        <v>2755</v>
      </c>
      <c r="B33" s="12" t="s">
        <v>174</v>
      </c>
      <c r="C33" s="12" t="s">
        <v>4286</v>
      </c>
      <c r="D33" s="12" t="s">
        <v>1147</v>
      </c>
      <c r="E33" s="13" t="s">
        <v>4289</v>
      </c>
      <c r="F33" s="12"/>
    </row>
    <row r="34" customFormat="false" ht="15" hidden="false" customHeight="false" outlineLevel="0" collapsed="false">
      <c r="A34" s="12" t="s">
        <v>2755</v>
      </c>
      <c r="B34" s="12" t="s">
        <v>174</v>
      </c>
      <c r="C34" s="12" t="s">
        <v>4286</v>
      </c>
      <c r="D34" s="12" t="s">
        <v>1206</v>
      </c>
      <c r="E34" s="13" t="s">
        <v>4290</v>
      </c>
      <c r="F34" s="12"/>
    </row>
    <row r="35" customFormat="false" ht="23.85" hidden="false" customHeight="false" outlineLevel="0" collapsed="false">
      <c r="A35" s="12" t="s">
        <v>2755</v>
      </c>
      <c r="B35" s="12" t="s">
        <v>174</v>
      </c>
      <c r="C35" s="12" t="s">
        <v>4291</v>
      </c>
      <c r="D35" s="12" t="s">
        <v>1206</v>
      </c>
      <c r="E35" s="13" t="s">
        <v>4292</v>
      </c>
      <c r="F35" s="12"/>
    </row>
    <row r="36" customFormat="false" ht="23.85" hidden="false" customHeight="false" outlineLevel="0" collapsed="false">
      <c r="A36" s="12" t="s">
        <v>2755</v>
      </c>
      <c r="B36" s="12" t="s">
        <v>174</v>
      </c>
      <c r="C36" s="12" t="s">
        <v>4291</v>
      </c>
      <c r="D36" s="12" t="s">
        <v>1206</v>
      </c>
      <c r="E36" s="13" t="s">
        <v>4293</v>
      </c>
      <c r="F36" s="12"/>
    </row>
    <row r="37" customFormat="false" ht="15" hidden="false" customHeight="false" outlineLevel="0" collapsed="false">
      <c r="A37" s="12" t="s">
        <v>2755</v>
      </c>
      <c r="B37" s="12" t="s">
        <v>174</v>
      </c>
      <c r="C37" s="12" t="s">
        <v>4294</v>
      </c>
      <c r="D37" s="12" t="s">
        <v>223</v>
      </c>
      <c r="E37" s="13" t="s">
        <v>4295</v>
      </c>
      <c r="F37" s="12"/>
    </row>
    <row r="38" customFormat="false" ht="15" hidden="false" customHeight="false" outlineLevel="0" collapsed="false">
      <c r="A38" s="12" t="s">
        <v>2755</v>
      </c>
      <c r="B38" s="12" t="s">
        <v>174</v>
      </c>
      <c r="C38" s="12" t="s">
        <v>4294</v>
      </c>
      <c r="D38" s="12" t="s">
        <v>231</v>
      </c>
      <c r="E38" s="13" t="s">
        <v>4295</v>
      </c>
      <c r="F38" s="12"/>
    </row>
    <row r="39" customFormat="false" ht="15" hidden="false" customHeight="false" outlineLevel="0" collapsed="false">
      <c r="A39" s="12" t="s">
        <v>2755</v>
      </c>
      <c r="B39" s="12" t="s">
        <v>174</v>
      </c>
      <c r="C39" s="12" t="s">
        <v>4294</v>
      </c>
      <c r="D39" s="12" t="s">
        <v>311</v>
      </c>
      <c r="E39" s="13" t="s">
        <v>4296</v>
      </c>
      <c r="F39" s="12"/>
    </row>
    <row r="40" customFormat="false" ht="15" hidden="false" customHeight="false" outlineLevel="0" collapsed="false">
      <c r="A40" s="12" t="s">
        <v>2755</v>
      </c>
      <c r="B40" s="12" t="s">
        <v>174</v>
      </c>
      <c r="C40" s="12" t="s">
        <v>4294</v>
      </c>
      <c r="D40" s="12" t="s">
        <v>325</v>
      </c>
      <c r="E40" s="13" t="s">
        <v>4297</v>
      </c>
      <c r="F40" s="12"/>
    </row>
    <row r="41" customFormat="false" ht="15" hidden="false" customHeight="false" outlineLevel="0" collapsed="false">
      <c r="A41" s="12" t="s">
        <v>2755</v>
      </c>
      <c r="B41" s="12" t="s">
        <v>174</v>
      </c>
      <c r="C41" s="12" t="s">
        <v>4294</v>
      </c>
      <c r="D41" s="12" t="s">
        <v>340</v>
      </c>
      <c r="E41" s="13" t="s">
        <v>4298</v>
      </c>
      <c r="F41" s="12"/>
    </row>
    <row r="42" customFormat="false" ht="15" hidden="false" customHeight="false" outlineLevel="0" collapsed="false">
      <c r="A42" s="12" t="s">
        <v>2755</v>
      </c>
      <c r="B42" s="12" t="s">
        <v>174</v>
      </c>
      <c r="C42" s="12" t="s">
        <v>4294</v>
      </c>
      <c r="D42" s="12" t="s">
        <v>365</v>
      </c>
      <c r="E42" s="13" t="s">
        <v>4299</v>
      </c>
      <c r="F42" s="12"/>
    </row>
    <row r="43" customFormat="false" ht="15" hidden="false" customHeight="false" outlineLevel="0" collapsed="false">
      <c r="A43" s="12" t="s">
        <v>2755</v>
      </c>
      <c r="B43" s="12" t="s">
        <v>174</v>
      </c>
      <c r="C43" s="12" t="s">
        <v>4294</v>
      </c>
      <c r="D43" s="12" t="s">
        <v>377</v>
      </c>
      <c r="E43" s="13" t="s">
        <v>4300</v>
      </c>
      <c r="F43" s="12"/>
    </row>
    <row r="44" customFormat="false" ht="15" hidden="false" customHeight="false" outlineLevel="0" collapsed="false">
      <c r="A44" s="12" t="s">
        <v>2755</v>
      </c>
      <c r="B44" s="12" t="s">
        <v>174</v>
      </c>
      <c r="C44" s="12" t="s">
        <v>4294</v>
      </c>
      <c r="D44" s="12" t="s">
        <v>612</v>
      </c>
      <c r="E44" s="13" t="s">
        <v>4301</v>
      </c>
      <c r="F44" s="12"/>
    </row>
    <row r="45" customFormat="false" ht="15" hidden="false" customHeight="false" outlineLevel="0" collapsed="false">
      <c r="A45" s="12" t="s">
        <v>2755</v>
      </c>
      <c r="B45" s="12" t="s">
        <v>174</v>
      </c>
      <c r="C45" s="12" t="s">
        <v>4294</v>
      </c>
      <c r="D45" s="12" t="s">
        <v>630</v>
      </c>
      <c r="E45" s="13" t="s">
        <v>4302</v>
      </c>
      <c r="F45" s="12"/>
    </row>
    <row r="46" customFormat="false" ht="15" hidden="false" customHeight="false" outlineLevel="0" collapsed="false">
      <c r="A46" s="12" t="s">
        <v>2755</v>
      </c>
      <c r="B46" s="12" t="s">
        <v>174</v>
      </c>
      <c r="C46" s="12" t="s">
        <v>4294</v>
      </c>
      <c r="D46" s="12" t="s">
        <v>692</v>
      </c>
      <c r="E46" s="13" t="s">
        <v>4303</v>
      </c>
      <c r="F46" s="12"/>
    </row>
    <row r="47" customFormat="false" ht="15" hidden="false" customHeight="false" outlineLevel="0" collapsed="false">
      <c r="A47" s="12" t="s">
        <v>2755</v>
      </c>
      <c r="B47" s="12" t="s">
        <v>174</v>
      </c>
      <c r="C47" s="12" t="s">
        <v>4294</v>
      </c>
      <c r="D47" s="12" t="s">
        <v>1305</v>
      </c>
      <c r="E47" s="13" t="s">
        <v>4304</v>
      </c>
      <c r="F47" s="12"/>
    </row>
    <row r="48" customFormat="false" ht="15" hidden="false" customHeight="false" outlineLevel="0" collapsed="false">
      <c r="A48" s="12" t="s">
        <v>2755</v>
      </c>
      <c r="B48" s="12" t="s">
        <v>174</v>
      </c>
      <c r="C48" s="12" t="s">
        <v>4294</v>
      </c>
      <c r="D48" s="12" t="s">
        <v>761</v>
      </c>
      <c r="E48" s="13" t="s">
        <v>4305</v>
      </c>
      <c r="F48" s="12"/>
    </row>
    <row r="49" customFormat="false" ht="15" hidden="false" customHeight="false" outlineLevel="0" collapsed="false">
      <c r="A49" s="12" t="s">
        <v>2755</v>
      </c>
      <c r="B49" s="12" t="s">
        <v>174</v>
      </c>
      <c r="C49" s="12" t="s">
        <v>4294</v>
      </c>
      <c r="D49" s="12" t="s">
        <v>808</v>
      </c>
      <c r="E49" s="13" t="s">
        <v>4306</v>
      </c>
      <c r="F49" s="12"/>
    </row>
    <row r="50" customFormat="false" ht="15" hidden="false" customHeight="false" outlineLevel="0" collapsed="false">
      <c r="A50" s="12" t="s">
        <v>2755</v>
      </c>
      <c r="B50" s="12" t="s">
        <v>174</v>
      </c>
      <c r="C50" s="12" t="s">
        <v>4294</v>
      </c>
      <c r="D50" s="12" t="s">
        <v>900</v>
      </c>
      <c r="E50" s="13" t="s">
        <v>4307</v>
      </c>
      <c r="F50" s="12"/>
    </row>
    <row r="51" customFormat="false" ht="15" hidden="false" customHeight="false" outlineLevel="0" collapsed="false">
      <c r="A51" s="12" t="s">
        <v>2755</v>
      </c>
      <c r="B51" s="12" t="s">
        <v>174</v>
      </c>
      <c r="C51" s="12" t="s">
        <v>4294</v>
      </c>
      <c r="D51" s="12" t="s">
        <v>916</v>
      </c>
      <c r="E51" s="13" t="s">
        <v>4308</v>
      </c>
      <c r="F51" s="12"/>
    </row>
    <row r="52" customFormat="false" ht="15" hidden="false" customHeight="false" outlineLevel="0" collapsed="false">
      <c r="A52" s="12" t="s">
        <v>2755</v>
      </c>
      <c r="B52" s="12" t="s">
        <v>174</v>
      </c>
      <c r="C52" s="12" t="s">
        <v>4294</v>
      </c>
      <c r="D52" s="12" t="s">
        <v>1351</v>
      </c>
      <c r="E52" s="13" t="s">
        <v>4309</v>
      </c>
      <c r="F52" s="12"/>
    </row>
    <row r="53" customFormat="false" ht="15" hidden="false" customHeight="false" outlineLevel="0" collapsed="false">
      <c r="A53" s="12" t="s">
        <v>2755</v>
      </c>
      <c r="B53" s="12" t="s">
        <v>174</v>
      </c>
      <c r="C53" s="12" t="s">
        <v>4294</v>
      </c>
      <c r="D53" s="12" t="s">
        <v>981</v>
      </c>
      <c r="E53" s="13" t="s">
        <v>4310</v>
      </c>
      <c r="F53" s="12"/>
    </row>
    <row r="54" customFormat="false" ht="15" hidden="false" customHeight="false" outlineLevel="0" collapsed="false">
      <c r="A54" s="12" t="s">
        <v>2755</v>
      </c>
      <c r="B54" s="12" t="s">
        <v>174</v>
      </c>
      <c r="C54" s="12" t="s">
        <v>4294</v>
      </c>
      <c r="D54" s="12" t="s">
        <v>993</v>
      </c>
      <c r="E54" s="13" t="s">
        <v>4311</v>
      </c>
      <c r="F54" s="12"/>
    </row>
    <row r="55" customFormat="false" ht="15" hidden="false" customHeight="false" outlineLevel="0" collapsed="false">
      <c r="A55" s="12" t="s">
        <v>2755</v>
      </c>
      <c r="B55" s="12" t="s">
        <v>174</v>
      </c>
      <c r="C55" s="12" t="s">
        <v>4294</v>
      </c>
      <c r="D55" s="12" t="s">
        <v>1036</v>
      </c>
      <c r="E55" s="13" t="s">
        <v>4312</v>
      </c>
      <c r="F55" s="12"/>
    </row>
    <row r="56" customFormat="false" ht="15" hidden="false" customHeight="false" outlineLevel="0" collapsed="false">
      <c r="A56" s="12" t="s">
        <v>2755</v>
      </c>
      <c r="B56" s="12" t="s">
        <v>174</v>
      </c>
      <c r="C56" s="12" t="s">
        <v>4294</v>
      </c>
      <c r="D56" s="12" t="s">
        <v>1076</v>
      </c>
      <c r="E56" s="13" t="s">
        <v>4313</v>
      </c>
      <c r="F56" s="12"/>
    </row>
    <row r="57" customFormat="false" ht="15" hidden="false" customHeight="false" outlineLevel="0" collapsed="false">
      <c r="A57" s="12" t="s">
        <v>2755</v>
      </c>
      <c r="B57" s="12" t="s">
        <v>174</v>
      </c>
      <c r="C57" s="12" t="s">
        <v>4294</v>
      </c>
      <c r="D57" s="12" t="s">
        <v>1087</v>
      </c>
      <c r="E57" s="13" t="s">
        <v>4314</v>
      </c>
      <c r="F57" s="12"/>
    </row>
    <row r="58" customFormat="false" ht="15" hidden="false" customHeight="false" outlineLevel="0" collapsed="false">
      <c r="A58" s="12" t="s">
        <v>2755</v>
      </c>
      <c r="B58" s="12" t="s">
        <v>174</v>
      </c>
      <c r="C58" s="12" t="s">
        <v>4294</v>
      </c>
      <c r="D58" s="12" t="s">
        <v>1111</v>
      </c>
      <c r="E58" s="13" t="s">
        <v>4315</v>
      </c>
      <c r="F58" s="12"/>
    </row>
    <row r="59" customFormat="false" ht="15" hidden="false" customHeight="false" outlineLevel="0" collapsed="false">
      <c r="A59" s="12" t="s">
        <v>2755</v>
      </c>
      <c r="B59" s="12" t="s">
        <v>174</v>
      </c>
      <c r="C59" s="12" t="s">
        <v>4294</v>
      </c>
      <c r="D59" s="12" t="s">
        <v>1120</v>
      </c>
      <c r="E59" s="13" t="s">
        <v>4316</v>
      </c>
      <c r="F59" s="12"/>
    </row>
    <row r="60" customFormat="false" ht="15" hidden="false" customHeight="false" outlineLevel="0" collapsed="false">
      <c r="A60" s="12" t="s">
        <v>2755</v>
      </c>
      <c r="B60" s="12" t="s">
        <v>174</v>
      </c>
      <c r="C60" s="12" t="s">
        <v>4294</v>
      </c>
      <c r="D60" s="12" t="s">
        <v>1137</v>
      </c>
      <c r="E60" s="13" t="s">
        <v>4317</v>
      </c>
      <c r="F60" s="12"/>
    </row>
    <row r="61" customFormat="false" ht="15" hidden="false" customHeight="false" outlineLevel="0" collapsed="false">
      <c r="A61" s="12" t="s">
        <v>2755</v>
      </c>
      <c r="B61" s="12" t="s">
        <v>174</v>
      </c>
      <c r="C61" s="12" t="s">
        <v>4294</v>
      </c>
      <c r="D61" s="12" t="s">
        <v>1165</v>
      </c>
      <c r="E61" s="13" t="s">
        <v>4318</v>
      </c>
      <c r="F61" s="12"/>
    </row>
    <row r="62" customFormat="false" ht="15" hidden="false" customHeight="false" outlineLevel="0" collapsed="false">
      <c r="A62" s="12" t="s">
        <v>2755</v>
      </c>
      <c r="B62" s="12" t="s">
        <v>174</v>
      </c>
      <c r="C62" s="12" t="s">
        <v>4294</v>
      </c>
      <c r="D62" s="12" t="s">
        <v>1172</v>
      </c>
      <c r="E62" s="13" t="s">
        <v>4319</v>
      </c>
      <c r="F62" s="12"/>
    </row>
    <row r="63" customFormat="false" ht="15" hidden="false" customHeight="false" outlineLevel="0" collapsed="false">
      <c r="A63" s="12" t="s">
        <v>2755</v>
      </c>
      <c r="B63" s="12" t="s">
        <v>174</v>
      </c>
      <c r="C63" s="12" t="s">
        <v>4294</v>
      </c>
      <c r="D63" s="12" t="s">
        <v>1182</v>
      </c>
      <c r="E63" s="13" t="s">
        <v>4320</v>
      </c>
      <c r="F63" s="12"/>
    </row>
    <row r="64" customFormat="false" ht="15" hidden="false" customHeight="false" outlineLevel="0" collapsed="false">
      <c r="A64" s="12" t="s">
        <v>2755</v>
      </c>
      <c r="B64" s="12" t="s">
        <v>174</v>
      </c>
      <c r="C64" s="12" t="s">
        <v>4294</v>
      </c>
      <c r="D64" s="12" t="s">
        <v>1338</v>
      </c>
      <c r="E64" s="13" t="s">
        <v>4321</v>
      </c>
      <c r="F64" s="12"/>
    </row>
    <row r="65" customFormat="false" ht="15" hidden="false" customHeight="false" outlineLevel="0" collapsed="false">
      <c r="A65" s="12" t="s">
        <v>2755</v>
      </c>
      <c r="B65" s="12" t="s">
        <v>174</v>
      </c>
      <c r="C65" s="12" t="s">
        <v>4294</v>
      </c>
      <c r="D65" s="12" t="s">
        <v>1193</v>
      </c>
      <c r="E65" s="13" t="s">
        <v>4322</v>
      </c>
      <c r="F65" s="12"/>
    </row>
    <row r="66" customFormat="false" ht="15" hidden="false" customHeight="false" outlineLevel="0" collapsed="false">
      <c r="A66" s="12" t="s">
        <v>2755</v>
      </c>
      <c r="B66" s="12" t="s">
        <v>174</v>
      </c>
      <c r="C66" s="12" t="s">
        <v>4294</v>
      </c>
      <c r="D66" s="12" t="s">
        <v>1206</v>
      </c>
      <c r="E66" s="13" t="s">
        <v>4323</v>
      </c>
      <c r="F66" s="12"/>
    </row>
    <row r="67" customFormat="false" ht="15" hidden="false" customHeight="false" outlineLevel="0" collapsed="false">
      <c r="A67" s="12" t="s">
        <v>2755</v>
      </c>
      <c r="B67" s="12" t="s">
        <v>174</v>
      </c>
      <c r="C67" s="12" t="s">
        <v>4294</v>
      </c>
      <c r="D67" s="12" t="s">
        <v>1215</v>
      </c>
      <c r="E67" s="13" t="s">
        <v>4324</v>
      </c>
      <c r="F67" s="12"/>
    </row>
    <row r="68" customFormat="false" ht="15" hidden="false" customHeight="false" outlineLevel="0" collapsed="false">
      <c r="A68" s="12" t="s">
        <v>2755</v>
      </c>
      <c r="B68" s="12" t="s">
        <v>174</v>
      </c>
      <c r="C68" s="12" t="s">
        <v>4294</v>
      </c>
      <c r="D68" s="12" t="s">
        <v>1231</v>
      </c>
      <c r="E68" s="13" t="s">
        <v>4325</v>
      </c>
      <c r="F68" s="12"/>
    </row>
    <row r="69" customFormat="false" ht="15" hidden="false" customHeight="false" outlineLevel="0" collapsed="false">
      <c r="A69" s="12" t="s">
        <v>2755</v>
      </c>
      <c r="B69" s="12" t="s">
        <v>174</v>
      </c>
      <c r="C69" s="12" t="s">
        <v>4294</v>
      </c>
      <c r="D69" s="12" t="s">
        <v>1359</v>
      </c>
      <c r="E69" s="13" t="s">
        <v>4326</v>
      </c>
      <c r="F69" s="12"/>
    </row>
    <row r="70" customFormat="false" ht="15" hidden="false" customHeight="false" outlineLevel="0" collapsed="false">
      <c r="A70" s="12" t="s">
        <v>2755</v>
      </c>
      <c r="B70" s="12" t="s">
        <v>174</v>
      </c>
      <c r="C70" s="12" t="s">
        <v>4294</v>
      </c>
      <c r="D70" s="12" t="s">
        <v>387</v>
      </c>
      <c r="E70" s="13" t="s">
        <v>4327</v>
      </c>
      <c r="F70" s="12"/>
    </row>
    <row r="71" customFormat="false" ht="15" hidden="false" customHeight="false" outlineLevel="0" collapsed="false">
      <c r="A71" s="12" t="s">
        <v>2755</v>
      </c>
      <c r="B71" s="12" t="s">
        <v>174</v>
      </c>
      <c r="C71" s="12" t="s">
        <v>4294</v>
      </c>
      <c r="D71" s="12" t="s">
        <v>406</v>
      </c>
      <c r="E71" s="13" t="s">
        <v>4328</v>
      </c>
      <c r="F71" s="12"/>
    </row>
    <row r="72" customFormat="false" ht="15" hidden="false" customHeight="false" outlineLevel="0" collapsed="false">
      <c r="A72" s="12" t="s">
        <v>2755</v>
      </c>
      <c r="B72" s="12" t="s">
        <v>174</v>
      </c>
      <c r="C72" s="12" t="s">
        <v>4294</v>
      </c>
      <c r="D72" s="12" t="s">
        <v>479</v>
      </c>
      <c r="E72" s="13" t="s">
        <v>4329</v>
      </c>
      <c r="F72" s="12"/>
    </row>
    <row r="73" customFormat="false" ht="15" hidden="false" customHeight="false" outlineLevel="0" collapsed="false">
      <c r="A73" s="12" t="s">
        <v>2755</v>
      </c>
      <c r="B73" s="12" t="s">
        <v>174</v>
      </c>
      <c r="C73" s="12" t="s">
        <v>4294</v>
      </c>
      <c r="D73" s="12" t="s">
        <v>491</v>
      </c>
      <c r="E73" s="13" t="s">
        <v>4330</v>
      </c>
      <c r="F73" s="12"/>
    </row>
    <row r="74" customFormat="false" ht="15" hidden="false" customHeight="false" outlineLevel="0" collapsed="false">
      <c r="A74" s="12" t="s">
        <v>2755</v>
      </c>
      <c r="B74" s="12" t="s">
        <v>174</v>
      </c>
      <c r="C74" s="12" t="s">
        <v>4294</v>
      </c>
      <c r="D74" s="12" t="s">
        <v>516</v>
      </c>
      <c r="E74" s="13" t="s">
        <v>4331</v>
      </c>
      <c r="F74" s="12"/>
    </row>
    <row r="75" customFormat="false" ht="15" hidden="false" customHeight="false" outlineLevel="0" collapsed="false">
      <c r="A75" s="12" t="s">
        <v>2755</v>
      </c>
      <c r="B75" s="12" t="s">
        <v>174</v>
      </c>
      <c r="C75" s="12" t="s">
        <v>4294</v>
      </c>
      <c r="D75" s="12" t="s">
        <v>1248</v>
      </c>
      <c r="E75" s="13" t="s">
        <v>4332</v>
      </c>
      <c r="F75" s="12"/>
    </row>
    <row r="76" customFormat="false" ht="23.85" hidden="false" customHeight="false" outlineLevel="0" collapsed="false">
      <c r="A76" s="12" t="s">
        <v>2755</v>
      </c>
      <c r="B76" s="12" t="s">
        <v>174</v>
      </c>
      <c r="C76" s="12" t="s">
        <v>4333</v>
      </c>
      <c r="D76" s="12" t="s">
        <v>491</v>
      </c>
      <c r="E76" s="13" t="s">
        <v>4334</v>
      </c>
      <c r="F76" s="12"/>
    </row>
    <row r="77" customFormat="false" ht="23.85" hidden="false" customHeight="false" outlineLevel="0" collapsed="false">
      <c r="A77" s="12" t="s">
        <v>2755</v>
      </c>
      <c r="B77" s="12" t="s">
        <v>174</v>
      </c>
      <c r="C77" s="12" t="s">
        <v>4333</v>
      </c>
      <c r="D77" s="12" t="s">
        <v>516</v>
      </c>
      <c r="E77" s="13" t="s">
        <v>4335</v>
      </c>
      <c r="F77" s="12"/>
    </row>
    <row r="78" customFormat="false" ht="15" hidden="false" customHeight="false" outlineLevel="0" collapsed="false">
      <c r="A78" s="12" t="s">
        <v>2755</v>
      </c>
      <c r="B78" s="12" t="s">
        <v>174</v>
      </c>
      <c r="C78" s="12" t="s">
        <v>4336</v>
      </c>
      <c r="D78" s="12" t="s">
        <v>325</v>
      </c>
      <c r="E78" s="13" t="s">
        <v>4337</v>
      </c>
      <c r="F78" s="12"/>
    </row>
    <row r="79" customFormat="false" ht="15" hidden="false" customHeight="false" outlineLevel="0" collapsed="false">
      <c r="A79" s="12" t="s">
        <v>2755</v>
      </c>
      <c r="B79" s="12" t="s">
        <v>174</v>
      </c>
      <c r="C79" s="12" t="s">
        <v>4336</v>
      </c>
      <c r="D79" s="12" t="s">
        <v>340</v>
      </c>
      <c r="E79" s="13" t="s">
        <v>4338</v>
      </c>
      <c r="F79" s="12"/>
    </row>
    <row r="80" customFormat="false" ht="15" hidden="false" customHeight="false" outlineLevel="0" collapsed="false">
      <c r="A80" s="12" t="s">
        <v>2755</v>
      </c>
      <c r="B80" s="12" t="s">
        <v>174</v>
      </c>
      <c r="C80" s="12" t="s">
        <v>4336</v>
      </c>
      <c r="D80" s="12" t="s">
        <v>365</v>
      </c>
      <c r="E80" s="13" t="s">
        <v>4339</v>
      </c>
      <c r="F80" s="12"/>
    </row>
    <row r="81" customFormat="false" ht="15" hidden="false" customHeight="false" outlineLevel="0" collapsed="false">
      <c r="A81" s="12" t="s">
        <v>2755</v>
      </c>
      <c r="B81" s="12" t="s">
        <v>174</v>
      </c>
      <c r="C81" s="12" t="s">
        <v>4336</v>
      </c>
      <c r="D81" s="12" t="s">
        <v>637</v>
      </c>
      <c r="E81" s="13" t="s">
        <v>4338</v>
      </c>
      <c r="F81" s="12"/>
    </row>
    <row r="82" customFormat="false" ht="15" hidden="false" customHeight="false" outlineLevel="0" collapsed="false">
      <c r="A82" s="12" t="s">
        <v>2755</v>
      </c>
      <c r="B82" s="12" t="s">
        <v>174</v>
      </c>
      <c r="C82" s="12" t="s">
        <v>4336</v>
      </c>
      <c r="D82" s="12" t="s">
        <v>1305</v>
      </c>
      <c r="E82" s="13" t="s">
        <v>4338</v>
      </c>
      <c r="F82" s="12"/>
    </row>
    <row r="83" customFormat="false" ht="15" hidden="false" customHeight="false" outlineLevel="0" collapsed="false">
      <c r="A83" s="12" t="s">
        <v>2755</v>
      </c>
      <c r="B83" s="12" t="s">
        <v>174</v>
      </c>
      <c r="C83" s="12" t="s">
        <v>4336</v>
      </c>
      <c r="D83" s="12" t="s">
        <v>738</v>
      </c>
      <c r="E83" s="13" t="s">
        <v>4338</v>
      </c>
      <c r="F83" s="12"/>
    </row>
    <row r="84" customFormat="false" ht="15" hidden="false" customHeight="false" outlineLevel="0" collapsed="false">
      <c r="A84" s="12" t="s">
        <v>2755</v>
      </c>
      <c r="B84" s="12" t="s">
        <v>174</v>
      </c>
      <c r="C84" s="12" t="s">
        <v>4336</v>
      </c>
      <c r="D84" s="12" t="s">
        <v>761</v>
      </c>
      <c r="E84" s="13" t="s">
        <v>4338</v>
      </c>
      <c r="F84" s="12"/>
    </row>
    <row r="85" customFormat="false" ht="15" hidden="false" customHeight="false" outlineLevel="0" collapsed="false">
      <c r="A85" s="12" t="s">
        <v>2755</v>
      </c>
      <c r="B85" s="12" t="s">
        <v>174</v>
      </c>
      <c r="C85" s="12" t="s">
        <v>4336</v>
      </c>
      <c r="D85" s="12" t="s">
        <v>859</v>
      </c>
      <c r="E85" s="13" t="s">
        <v>4340</v>
      </c>
      <c r="F85" s="12"/>
    </row>
    <row r="86" customFormat="false" ht="15" hidden="false" customHeight="false" outlineLevel="0" collapsed="false">
      <c r="A86" s="12" t="s">
        <v>2755</v>
      </c>
      <c r="B86" s="12" t="s">
        <v>174</v>
      </c>
      <c r="C86" s="12" t="s">
        <v>4336</v>
      </c>
      <c r="D86" s="12" t="s">
        <v>907</v>
      </c>
      <c r="E86" s="13" t="s">
        <v>4340</v>
      </c>
      <c r="F86" s="12"/>
    </row>
    <row r="87" customFormat="false" ht="15" hidden="false" customHeight="false" outlineLevel="0" collapsed="false">
      <c r="A87" s="12" t="s">
        <v>2755</v>
      </c>
      <c r="B87" s="12" t="s">
        <v>174</v>
      </c>
      <c r="C87" s="12" t="s">
        <v>4336</v>
      </c>
      <c r="D87" s="12" t="s">
        <v>1351</v>
      </c>
      <c r="E87" s="13" t="s">
        <v>4338</v>
      </c>
      <c r="F87" s="12"/>
    </row>
    <row r="88" customFormat="false" ht="15" hidden="false" customHeight="false" outlineLevel="0" collapsed="false">
      <c r="A88" s="12" t="s">
        <v>2755</v>
      </c>
      <c r="B88" s="12" t="s">
        <v>174</v>
      </c>
      <c r="C88" s="12" t="s">
        <v>4336</v>
      </c>
      <c r="D88" s="12" t="s">
        <v>1327</v>
      </c>
      <c r="E88" s="13" t="s">
        <v>4341</v>
      </c>
      <c r="F88" s="12"/>
    </row>
    <row r="89" customFormat="false" ht="15" hidden="false" customHeight="false" outlineLevel="0" collapsed="false">
      <c r="A89" s="12" t="s">
        <v>2755</v>
      </c>
      <c r="B89" s="12" t="s">
        <v>174</v>
      </c>
      <c r="C89" s="12" t="s">
        <v>4336</v>
      </c>
      <c r="D89" s="12" t="s">
        <v>1098</v>
      </c>
      <c r="E89" s="13" t="s">
        <v>4337</v>
      </c>
      <c r="F89" s="12"/>
    </row>
    <row r="90" customFormat="false" ht="15" hidden="false" customHeight="false" outlineLevel="0" collapsed="false">
      <c r="A90" s="12" t="s">
        <v>2755</v>
      </c>
      <c r="B90" s="12" t="s">
        <v>174</v>
      </c>
      <c r="C90" s="12" t="s">
        <v>4336</v>
      </c>
      <c r="D90" s="12" t="s">
        <v>1120</v>
      </c>
      <c r="E90" s="13" t="s">
        <v>4338</v>
      </c>
      <c r="F90" s="12"/>
    </row>
    <row r="91" customFormat="false" ht="15" hidden="false" customHeight="false" outlineLevel="0" collapsed="false">
      <c r="A91" s="12" t="s">
        <v>2755</v>
      </c>
      <c r="B91" s="12" t="s">
        <v>174</v>
      </c>
      <c r="C91" s="12" t="s">
        <v>4336</v>
      </c>
      <c r="D91" s="12" t="s">
        <v>1165</v>
      </c>
      <c r="E91" s="13" t="s">
        <v>4337</v>
      </c>
      <c r="F91" s="12"/>
    </row>
    <row r="92" customFormat="false" ht="15" hidden="false" customHeight="false" outlineLevel="0" collapsed="false">
      <c r="A92" s="12" t="s">
        <v>2755</v>
      </c>
      <c r="B92" s="12" t="s">
        <v>174</v>
      </c>
      <c r="C92" s="12" t="s">
        <v>4336</v>
      </c>
      <c r="D92" s="12" t="s">
        <v>1231</v>
      </c>
      <c r="E92" s="13" t="s">
        <v>4337</v>
      </c>
      <c r="F92" s="12"/>
    </row>
    <row r="93" customFormat="false" ht="15" hidden="false" customHeight="false" outlineLevel="0" collapsed="false">
      <c r="A93" s="12" t="s">
        <v>2755</v>
      </c>
      <c r="B93" s="12" t="s">
        <v>174</v>
      </c>
      <c r="C93" s="12" t="s">
        <v>4336</v>
      </c>
      <c r="D93" s="12" t="s">
        <v>1359</v>
      </c>
      <c r="E93" s="13" t="s">
        <v>4338</v>
      </c>
      <c r="F93" s="12"/>
    </row>
    <row r="94" customFormat="false" ht="15" hidden="false" customHeight="false" outlineLevel="0" collapsed="false">
      <c r="A94" s="12" t="s">
        <v>2755</v>
      </c>
      <c r="B94" s="12" t="s">
        <v>174</v>
      </c>
      <c r="C94" s="12" t="s">
        <v>4336</v>
      </c>
      <c r="D94" s="12" t="s">
        <v>406</v>
      </c>
      <c r="E94" s="13" t="s">
        <v>4340</v>
      </c>
      <c r="F94" s="12"/>
    </row>
    <row r="95" customFormat="false" ht="15" hidden="false" customHeight="false" outlineLevel="0" collapsed="false">
      <c r="A95" s="12" t="s">
        <v>2755</v>
      </c>
      <c r="B95" s="12" t="s">
        <v>174</v>
      </c>
      <c r="C95" s="12" t="s">
        <v>4336</v>
      </c>
      <c r="D95" s="12" t="s">
        <v>421</v>
      </c>
      <c r="E95" s="13" t="s">
        <v>4337</v>
      </c>
      <c r="F95" s="12"/>
    </row>
    <row r="96" customFormat="false" ht="15" hidden="false" customHeight="false" outlineLevel="0" collapsed="false">
      <c r="A96" s="12" t="s">
        <v>2755</v>
      </c>
      <c r="B96" s="12" t="s">
        <v>174</v>
      </c>
      <c r="C96" s="12" t="s">
        <v>4336</v>
      </c>
      <c r="D96" s="12" t="s">
        <v>503</v>
      </c>
      <c r="E96" s="13" t="s">
        <v>4337</v>
      </c>
      <c r="F96" s="12"/>
    </row>
    <row r="97" customFormat="false" ht="15" hidden="false" customHeight="false" outlineLevel="0" collapsed="false">
      <c r="A97" s="12" t="s">
        <v>2755</v>
      </c>
      <c r="B97" s="12" t="s">
        <v>174</v>
      </c>
      <c r="C97" s="12" t="s">
        <v>4336</v>
      </c>
      <c r="D97" s="12" t="s">
        <v>516</v>
      </c>
      <c r="E97" s="13" t="s">
        <v>4337</v>
      </c>
      <c r="F97" s="12"/>
    </row>
    <row r="98" customFormat="false" ht="15" hidden="false" customHeight="false" outlineLevel="0" collapsed="false">
      <c r="A98" s="12" t="s">
        <v>2755</v>
      </c>
      <c r="B98" s="12" t="s">
        <v>174</v>
      </c>
      <c r="C98" s="12" t="s">
        <v>4336</v>
      </c>
      <c r="D98" s="12" t="s">
        <v>570</v>
      </c>
      <c r="E98" s="13" t="s">
        <v>4337</v>
      </c>
      <c r="F98" s="12"/>
    </row>
    <row r="99" customFormat="false" ht="15" hidden="false" customHeight="false" outlineLevel="0" collapsed="false">
      <c r="A99" s="12" t="s">
        <v>2755</v>
      </c>
      <c r="B99" s="12" t="s">
        <v>174</v>
      </c>
      <c r="C99" s="12" t="s">
        <v>4291</v>
      </c>
      <c r="D99" s="12" t="s">
        <v>271</v>
      </c>
      <c r="E99" s="13" t="s">
        <v>4342</v>
      </c>
      <c r="F99" s="12" t="s">
        <v>1390</v>
      </c>
    </row>
    <row r="100" customFormat="false" ht="15" hidden="false" customHeight="false" outlineLevel="0" collapsed="false">
      <c r="A100" s="12" t="s">
        <v>2755</v>
      </c>
      <c r="B100" s="12" t="s">
        <v>174</v>
      </c>
      <c r="C100" s="12" t="s">
        <v>4291</v>
      </c>
      <c r="D100" s="12" t="s">
        <v>665</v>
      </c>
      <c r="E100" s="13" t="s">
        <v>4343</v>
      </c>
      <c r="F100" s="12" t="s">
        <v>1390</v>
      </c>
    </row>
    <row r="101" customFormat="false" ht="15" hidden="false" customHeight="false" outlineLevel="0" collapsed="false">
      <c r="A101" s="12" t="s">
        <v>2755</v>
      </c>
      <c r="B101" s="12" t="s">
        <v>174</v>
      </c>
      <c r="C101" s="12" t="s">
        <v>4291</v>
      </c>
      <c r="D101" s="12" t="s">
        <v>821</v>
      </c>
      <c r="E101" s="13" t="s">
        <v>4344</v>
      </c>
      <c r="F101" s="12" t="s">
        <v>1822</v>
      </c>
    </row>
    <row r="102" customFormat="false" ht="15" hidden="false" customHeight="false" outlineLevel="0" collapsed="false">
      <c r="A102" s="12" t="s">
        <v>2755</v>
      </c>
      <c r="B102" s="12" t="s">
        <v>174</v>
      </c>
      <c r="C102" s="12" t="s">
        <v>4291</v>
      </c>
      <c r="D102" s="12" t="s">
        <v>853</v>
      </c>
      <c r="E102" s="13" t="s">
        <v>4345</v>
      </c>
      <c r="F102" s="12" t="s">
        <v>1822</v>
      </c>
    </row>
    <row r="103" customFormat="false" ht="15" hidden="false" customHeight="false" outlineLevel="0" collapsed="false">
      <c r="A103" s="12" t="s">
        <v>2755</v>
      </c>
      <c r="B103" s="12" t="s">
        <v>174</v>
      </c>
      <c r="C103" s="12" t="s">
        <v>4291</v>
      </c>
      <c r="D103" s="12" t="s">
        <v>1346</v>
      </c>
      <c r="E103" s="13" t="s">
        <v>4346</v>
      </c>
      <c r="F103" s="12" t="s">
        <v>1822</v>
      </c>
    </row>
    <row r="104" customFormat="false" ht="15" hidden="false" customHeight="false" outlineLevel="0" collapsed="false">
      <c r="A104" s="12" t="s">
        <v>2755</v>
      </c>
      <c r="B104" s="12" t="s">
        <v>174</v>
      </c>
      <c r="C104" s="12" t="s">
        <v>4291</v>
      </c>
      <c r="D104" s="12" t="s">
        <v>964</v>
      </c>
      <c r="E104" s="13" t="s">
        <v>4347</v>
      </c>
      <c r="F104" s="12" t="s">
        <v>1390</v>
      </c>
    </row>
    <row r="105" customFormat="false" ht="15" hidden="false" customHeight="false" outlineLevel="0" collapsed="false">
      <c r="A105" s="12" t="s">
        <v>2755</v>
      </c>
      <c r="B105" s="12" t="s">
        <v>174</v>
      </c>
      <c r="C105" s="12" t="s">
        <v>4291</v>
      </c>
      <c r="D105" s="12" t="s">
        <v>1228</v>
      </c>
      <c r="E105" s="13" t="s">
        <v>4348</v>
      </c>
      <c r="F105" s="12" t="s">
        <v>1390</v>
      </c>
    </row>
    <row r="106" customFormat="false" ht="15" hidden="false" customHeight="false" outlineLevel="0" collapsed="false">
      <c r="A106" s="12" t="s">
        <v>2755</v>
      </c>
      <c r="B106" s="12" t="s">
        <v>174</v>
      </c>
      <c r="C106" s="12" t="s">
        <v>4291</v>
      </c>
      <c r="D106" s="12" t="s">
        <v>1268</v>
      </c>
      <c r="E106" s="13" t="s">
        <v>4349</v>
      </c>
      <c r="F106" s="12" t="s">
        <v>1822</v>
      </c>
    </row>
    <row r="107" customFormat="false" ht="15" hidden="false" customHeight="false" outlineLevel="0" collapsed="false">
      <c r="A107" s="12" t="s">
        <v>2755</v>
      </c>
      <c r="B107" s="12" t="s">
        <v>174</v>
      </c>
      <c r="C107" s="12" t="s">
        <v>4294</v>
      </c>
      <c r="D107" s="12" t="s">
        <v>239</v>
      </c>
      <c r="E107" s="13" t="s">
        <v>4350</v>
      </c>
      <c r="F107" s="12" t="s">
        <v>1432</v>
      </c>
    </row>
    <row r="108" customFormat="false" ht="15" hidden="false" customHeight="false" outlineLevel="0" collapsed="false">
      <c r="A108" s="12" t="s">
        <v>2755</v>
      </c>
      <c r="B108" s="12" t="s">
        <v>174</v>
      </c>
      <c r="C108" s="12" t="s">
        <v>4294</v>
      </c>
      <c r="D108" s="12" t="s">
        <v>251</v>
      </c>
      <c r="E108" s="13" t="s">
        <v>4350</v>
      </c>
      <c r="F108" s="12" t="s">
        <v>1432</v>
      </c>
    </row>
    <row r="109" customFormat="false" ht="15" hidden="false" customHeight="false" outlineLevel="0" collapsed="false">
      <c r="A109" s="12" t="s">
        <v>2755</v>
      </c>
      <c r="B109" s="12" t="s">
        <v>174</v>
      </c>
      <c r="C109" s="12" t="s">
        <v>4294</v>
      </c>
      <c r="D109" s="12" t="s">
        <v>265</v>
      </c>
      <c r="E109" s="13" t="s">
        <v>4350</v>
      </c>
      <c r="F109" s="12" t="s">
        <v>1432</v>
      </c>
    </row>
    <row r="110" customFormat="false" ht="15" hidden="false" customHeight="false" outlineLevel="0" collapsed="false">
      <c r="A110" s="12" t="s">
        <v>2755</v>
      </c>
      <c r="B110" s="12" t="s">
        <v>174</v>
      </c>
      <c r="C110" s="12" t="s">
        <v>4294</v>
      </c>
      <c r="D110" s="12" t="s">
        <v>271</v>
      </c>
      <c r="E110" s="13" t="s">
        <v>4350</v>
      </c>
      <c r="F110" s="12" t="s">
        <v>1432</v>
      </c>
    </row>
    <row r="111" customFormat="false" ht="15" hidden="false" customHeight="false" outlineLevel="0" collapsed="false">
      <c r="A111" s="12" t="s">
        <v>2755</v>
      </c>
      <c r="B111" s="12" t="s">
        <v>174</v>
      </c>
      <c r="C111" s="12" t="s">
        <v>4294</v>
      </c>
      <c r="D111" s="12" t="s">
        <v>562</v>
      </c>
      <c r="E111" s="13" t="s">
        <v>4350</v>
      </c>
      <c r="F111" s="12" t="s">
        <v>1432</v>
      </c>
    </row>
    <row r="112" customFormat="false" ht="15" hidden="false" customHeight="false" outlineLevel="0" collapsed="false">
      <c r="A112" s="12" t="s">
        <v>2755</v>
      </c>
      <c r="B112" s="12" t="s">
        <v>174</v>
      </c>
      <c r="C112" s="12" t="s">
        <v>4294</v>
      </c>
      <c r="D112" s="12" t="s">
        <v>665</v>
      </c>
      <c r="E112" s="13" t="s">
        <v>4350</v>
      </c>
      <c r="F112" s="12" t="s">
        <v>1432</v>
      </c>
    </row>
    <row r="113" customFormat="false" ht="15" hidden="false" customHeight="false" outlineLevel="0" collapsed="false">
      <c r="A113" s="12" t="s">
        <v>2755</v>
      </c>
      <c r="B113" s="12" t="s">
        <v>174</v>
      </c>
      <c r="C113" s="12" t="s">
        <v>4294</v>
      </c>
      <c r="D113" s="12" t="s">
        <v>721</v>
      </c>
      <c r="E113" s="13" t="s">
        <v>4350</v>
      </c>
      <c r="F113" s="12" t="s">
        <v>1432</v>
      </c>
    </row>
    <row r="114" customFormat="false" ht="15" hidden="false" customHeight="false" outlineLevel="0" collapsed="false">
      <c r="A114" s="12" t="s">
        <v>2755</v>
      </c>
      <c r="B114" s="12" t="s">
        <v>174</v>
      </c>
      <c r="C114" s="12" t="s">
        <v>4294</v>
      </c>
      <c r="D114" s="12" t="s">
        <v>821</v>
      </c>
      <c r="E114" s="13" t="s">
        <v>4350</v>
      </c>
      <c r="F114" s="12" t="s">
        <v>1432</v>
      </c>
    </row>
    <row r="115" customFormat="false" ht="15" hidden="false" customHeight="false" outlineLevel="0" collapsed="false">
      <c r="A115" s="12" t="s">
        <v>2755</v>
      </c>
      <c r="B115" s="12" t="s">
        <v>174</v>
      </c>
      <c r="C115" s="12" t="s">
        <v>4294</v>
      </c>
      <c r="D115" s="12" t="s">
        <v>827</v>
      </c>
      <c r="E115" s="13" t="s">
        <v>4350</v>
      </c>
      <c r="F115" s="12" t="s">
        <v>1432</v>
      </c>
    </row>
    <row r="116" customFormat="false" ht="15" hidden="false" customHeight="false" outlineLevel="0" collapsed="false">
      <c r="A116" s="12" t="s">
        <v>2755</v>
      </c>
      <c r="B116" s="12" t="s">
        <v>174</v>
      </c>
      <c r="C116" s="12" t="s">
        <v>4294</v>
      </c>
      <c r="D116" s="12" t="s">
        <v>837</v>
      </c>
      <c r="E116" s="13" t="s">
        <v>4350</v>
      </c>
      <c r="F116" s="12" t="s">
        <v>1432</v>
      </c>
    </row>
    <row r="117" customFormat="false" ht="15" hidden="false" customHeight="false" outlineLevel="0" collapsed="false">
      <c r="A117" s="12" t="s">
        <v>2755</v>
      </c>
      <c r="B117" s="12" t="s">
        <v>174</v>
      </c>
      <c r="C117" s="12" t="s">
        <v>4294</v>
      </c>
      <c r="D117" s="12" t="s">
        <v>843</v>
      </c>
      <c r="E117" s="13" t="s">
        <v>4350</v>
      </c>
      <c r="F117" s="12" t="s">
        <v>1432</v>
      </c>
    </row>
    <row r="118" customFormat="false" ht="15" hidden="false" customHeight="false" outlineLevel="0" collapsed="false">
      <c r="A118" s="12" t="s">
        <v>2755</v>
      </c>
      <c r="B118" s="12" t="s">
        <v>174</v>
      </c>
      <c r="C118" s="12" t="s">
        <v>4294</v>
      </c>
      <c r="D118" s="12" t="s">
        <v>848</v>
      </c>
      <c r="E118" s="13" t="s">
        <v>4350</v>
      </c>
      <c r="F118" s="12" t="s">
        <v>1432</v>
      </c>
    </row>
    <row r="119" customFormat="false" ht="15" hidden="false" customHeight="false" outlineLevel="0" collapsed="false">
      <c r="A119" s="12" t="s">
        <v>2755</v>
      </c>
      <c r="B119" s="12" t="s">
        <v>174</v>
      </c>
      <c r="C119" s="12" t="s">
        <v>4294</v>
      </c>
      <c r="D119" s="12" t="s">
        <v>853</v>
      </c>
      <c r="E119" s="13" t="s">
        <v>4350</v>
      </c>
      <c r="F119" s="12" t="s">
        <v>1432</v>
      </c>
    </row>
    <row r="120" customFormat="false" ht="15" hidden="false" customHeight="false" outlineLevel="0" collapsed="false">
      <c r="A120" s="12" t="s">
        <v>2755</v>
      </c>
      <c r="B120" s="12" t="s">
        <v>174</v>
      </c>
      <c r="C120" s="12" t="s">
        <v>4294</v>
      </c>
      <c r="D120" s="12" t="s">
        <v>1346</v>
      </c>
      <c r="E120" s="13" t="s">
        <v>4350</v>
      </c>
      <c r="F120" s="12" t="s">
        <v>1432</v>
      </c>
    </row>
    <row r="121" customFormat="false" ht="15" hidden="false" customHeight="false" outlineLevel="0" collapsed="false">
      <c r="A121" s="12" t="s">
        <v>2755</v>
      </c>
      <c r="B121" s="12" t="s">
        <v>174</v>
      </c>
      <c r="C121" s="12" t="s">
        <v>4294</v>
      </c>
      <c r="D121" s="12" t="s">
        <v>964</v>
      </c>
      <c r="E121" s="13" t="s">
        <v>4350</v>
      </c>
      <c r="F121" s="12" t="s">
        <v>1432</v>
      </c>
    </row>
    <row r="122" customFormat="false" ht="15" hidden="false" customHeight="false" outlineLevel="0" collapsed="false">
      <c r="A122" s="12" t="s">
        <v>2755</v>
      </c>
      <c r="B122" s="12" t="s">
        <v>174</v>
      </c>
      <c r="C122" s="12" t="s">
        <v>4294</v>
      </c>
      <c r="D122" s="12" t="s">
        <v>969</v>
      </c>
      <c r="E122" s="13" t="s">
        <v>4350</v>
      </c>
      <c r="F122" s="12" t="s">
        <v>1432</v>
      </c>
    </row>
    <row r="123" customFormat="false" ht="15" hidden="false" customHeight="false" outlineLevel="0" collapsed="false">
      <c r="A123" s="12" t="s">
        <v>2755</v>
      </c>
      <c r="B123" s="12" t="s">
        <v>174</v>
      </c>
      <c r="C123" s="12" t="s">
        <v>4294</v>
      </c>
      <c r="D123" s="12" t="s">
        <v>974</v>
      </c>
      <c r="E123" s="13" t="s">
        <v>4350</v>
      </c>
      <c r="F123" s="12" t="s">
        <v>1432</v>
      </c>
    </row>
    <row r="124" customFormat="false" ht="15" hidden="false" customHeight="false" outlineLevel="0" collapsed="false">
      <c r="A124" s="12" t="s">
        <v>2755</v>
      </c>
      <c r="B124" s="12" t="s">
        <v>174</v>
      </c>
      <c r="C124" s="12" t="s">
        <v>4294</v>
      </c>
      <c r="D124" s="12" t="s">
        <v>1018</v>
      </c>
      <c r="E124" s="13" t="s">
        <v>4350</v>
      </c>
      <c r="F124" s="12" t="s">
        <v>1432</v>
      </c>
    </row>
    <row r="125" customFormat="false" ht="15" hidden="false" customHeight="false" outlineLevel="0" collapsed="false">
      <c r="A125" s="12" t="s">
        <v>2755</v>
      </c>
      <c r="B125" s="12" t="s">
        <v>174</v>
      </c>
      <c r="C125" s="12" t="s">
        <v>4294</v>
      </c>
      <c r="D125" s="12" t="s">
        <v>1228</v>
      </c>
      <c r="E125" s="13" t="s">
        <v>4350</v>
      </c>
      <c r="F125" s="12" t="s">
        <v>1432</v>
      </c>
    </row>
    <row r="126" customFormat="false" ht="15" hidden="false" customHeight="false" outlineLevel="0" collapsed="false">
      <c r="A126" s="12" t="s">
        <v>2755</v>
      </c>
      <c r="B126" s="12" t="s">
        <v>174</v>
      </c>
      <c r="C126" s="12" t="s">
        <v>4294</v>
      </c>
      <c r="D126" s="12" t="s">
        <v>1268</v>
      </c>
      <c r="E126" s="13" t="s">
        <v>4350</v>
      </c>
      <c r="F126" s="12" t="s">
        <v>1432</v>
      </c>
    </row>
    <row r="127" customFormat="false" ht="15" hidden="false" customHeight="false" outlineLevel="0" collapsed="false">
      <c r="A127" s="12" t="s">
        <v>2755</v>
      </c>
      <c r="B127" s="12" t="s">
        <v>174</v>
      </c>
      <c r="C127" s="12" t="s">
        <v>4294</v>
      </c>
      <c r="D127" s="12" t="s">
        <v>1299</v>
      </c>
      <c r="E127" s="13" t="s">
        <v>4350</v>
      </c>
      <c r="F127" s="12" t="s">
        <v>1432</v>
      </c>
    </row>
    <row r="128" customFormat="false" ht="15" hidden="false" customHeight="false" outlineLevel="0" collapsed="false">
      <c r="A128" s="12" t="s">
        <v>2755</v>
      </c>
      <c r="B128" s="12" t="s">
        <v>174</v>
      </c>
      <c r="C128" s="12" t="s">
        <v>4351</v>
      </c>
      <c r="D128" s="12" t="s">
        <v>239</v>
      </c>
      <c r="E128" s="13" t="s">
        <v>4352</v>
      </c>
      <c r="F128" s="12" t="s">
        <v>1432</v>
      </c>
    </row>
    <row r="129" customFormat="false" ht="23.85" hidden="false" customHeight="false" outlineLevel="0" collapsed="false">
      <c r="A129" s="12" t="s">
        <v>2755</v>
      </c>
      <c r="B129" s="12" t="s">
        <v>174</v>
      </c>
      <c r="C129" s="12" t="s">
        <v>4351</v>
      </c>
      <c r="D129" s="12" t="s">
        <v>251</v>
      </c>
      <c r="E129" s="13" t="s">
        <v>4353</v>
      </c>
      <c r="F129" s="12" t="s">
        <v>1432</v>
      </c>
    </row>
    <row r="130" customFormat="false" ht="23.85" hidden="false" customHeight="false" outlineLevel="0" collapsed="false">
      <c r="A130" s="12" t="s">
        <v>2755</v>
      </c>
      <c r="B130" s="12" t="s">
        <v>174</v>
      </c>
      <c r="C130" s="12" t="s">
        <v>4351</v>
      </c>
      <c r="D130" s="12" t="s">
        <v>265</v>
      </c>
      <c r="E130" s="13" t="s">
        <v>4354</v>
      </c>
      <c r="F130" s="12" t="s">
        <v>1432</v>
      </c>
    </row>
    <row r="131" customFormat="false" ht="23.85" hidden="false" customHeight="false" outlineLevel="0" collapsed="false">
      <c r="A131" s="12" t="s">
        <v>2755</v>
      </c>
      <c r="B131" s="12" t="s">
        <v>174</v>
      </c>
      <c r="C131" s="12" t="s">
        <v>4351</v>
      </c>
      <c r="D131" s="12" t="s">
        <v>271</v>
      </c>
      <c r="E131" s="13" t="s">
        <v>4355</v>
      </c>
      <c r="F131" s="12" t="s">
        <v>1432</v>
      </c>
    </row>
    <row r="132" customFormat="false" ht="23.85" hidden="false" customHeight="false" outlineLevel="0" collapsed="false">
      <c r="A132" s="12" t="s">
        <v>2755</v>
      </c>
      <c r="B132" s="12" t="s">
        <v>174</v>
      </c>
      <c r="C132" s="12" t="s">
        <v>4351</v>
      </c>
      <c r="D132" s="12" t="s">
        <v>562</v>
      </c>
      <c r="E132" s="13" t="s">
        <v>4356</v>
      </c>
      <c r="F132" s="12" t="s">
        <v>1432</v>
      </c>
    </row>
    <row r="133" customFormat="false" ht="23.85" hidden="false" customHeight="false" outlineLevel="0" collapsed="false">
      <c r="A133" s="12" t="s">
        <v>2755</v>
      </c>
      <c r="B133" s="12" t="s">
        <v>174</v>
      </c>
      <c r="C133" s="12" t="s">
        <v>4351</v>
      </c>
      <c r="D133" s="12" t="s">
        <v>665</v>
      </c>
      <c r="E133" s="13" t="s">
        <v>4357</v>
      </c>
      <c r="F133" s="12" t="s">
        <v>1432</v>
      </c>
    </row>
    <row r="134" customFormat="false" ht="23.85" hidden="false" customHeight="false" outlineLevel="0" collapsed="false">
      <c r="A134" s="12" t="s">
        <v>2755</v>
      </c>
      <c r="B134" s="12" t="s">
        <v>174</v>
      </c>
      <c r="C134" s="12" t="s">
        <v>4351</v>
      </c>
      <c r="D134" s="12" t="s">
        <v>721</v>
      </c>
      <c r="E134" s="13" t="s">
        <v>4358</v>
      </c>
      <c r="F134" s="12" t="s">
        <v>1432</v>
      </c>
    </row>
    <row r="135" customFormat="false" ht="23.85" hidden="false" customHeight="false" outlineLevel="0" collapsed="false">
      <c r="A135" s="12" t="s">
        <v>2755</v>
      </c>
      <c r="B135" s="12" t="s">
        <v>174</v>
      </c>
      <c r="C135" s="12" t="s">
        <v>4351</v>
      </c>
      <c r="D135" s="12" t="s">
        <v>821</v>
      </c>
      <c r="E135" s="13" t="s">
        <v>4359</v>
      </c>
      <c r="F135" s="12" t="s">
        <v>1432</v>
      </c>
    </row>
    <row r="136" customFormat="false" ht="15" hidden="false" customHeight="false" outlineLevel="0" collapsed="false">
      <c r="A136" s="12" t="s">
        <v>2755</v>
      </c>
      <c r="B136" s="12" t="s">
        <v>174</v>
      </c>
      <c r="C136" s="12" t="s">
        <v>4351</v>
      </c>
      <c r="D136" s="12" t="s">
        <v>827</v>
      </c>
      <c r="E136" s="13" t="s">
        <v>4360</v>
      </c>
      <c r="F136" s="12" t="s">
        <v>1432</v>
      </c>
    </row>
    <row r="137" customFormat="false" ht="23.85" hidden="false" customHeight="false" outlineLevel="0" collapsed="false">
      <c r="A137" s="12" t="s">
        <v>2755</v>
      </c>
      <c r="B137" s="12" t="s">
        <v>174</v>
      </c>
      <c r="C137" s="12" t="s">
        <v>4351</v>
      </c>
      <c r="D137" s="12" t="s">
        <v>837</v>
      </c>
      <c r="E137" s="13" t="s">
        <v>4361</v>
      </c>
      <c r="F137" s="12" t="s">
        <v>1432</v>
      </c>
    </row>
    <row r="138" customFormat="false" ht="15" hidden="false" customHeight="false" outlineLevel="0" collapsed="false">
      <c r="A138" s="12" t="s">
        <v>2755</v>
      </c>
      <c r="B138" s="12" t="s">
        <v>174</v>
      </c>
      <c r="C138" s="12" t="s">
        <v>4351</v>
      </c>
      <c r="D138" s="12" t="s">
        <v>843</v>
      </c>
      <c r="E138" s="13" t="s">
        <v>4362</v>
      </c>
      <c r="F138" s="12" t="s">
        <v>1432</v>
      </c>
    </row>
    <row r="139" customFormat="false" ht="23.85" hidden="false" customHeight="false" outlineLevel="0" collapsed="false">
      <c r="A139" s="12" t="s">
        <v>2755</v>
      </c>
      <c r="B139" s="12" t="s">
        <v>174</v>
      </c>
      <c r="C139" s="12" t="s">
        <v>4351</v>
      </c>
      <c r="D139" s="12" t="s">
        <v>848</v>
      </c>
      <c r="E139" s="13" t="s">
        <v>4363</v>
      </c>
      <c r="F139" s="12" t="s">
        <v>1432</v>
      </c>
    </row>
    <row r="140" customFormat="false" ht="23.85" hidden="false" customHeight="false" outlineLevel="0" collapsed="false">
      <c r="A140" s="12" t="s">
        <v>2755</v>
      </c>
      <c r="B140" s="12" t="s">
        <v>174</v>
      </c>
      <c r="C140" s="12" t="s">
        <v>4351</v>
      </c>
      <c r="D140" s="12" t="s">
        <v>853</v>
      </c>
      <c r="E140" s="13" t="s">
        <v>4364</v>
      </c>
      <c r="F140" s="12" t="s">
        <v>1432</v>
      </c>
    </row>
    <row r="141" customFormat="false" ht="23.85" hidden="false" customHeight="false" outlineLevel="0" collapsed="false">
      <c r="A141" s="12" t="s">
        <v>2755</v>
      </c>
      <c r="B141" s="12" t="s">
        <v>174</v>
      </c>
      <c r="C141" s="12" t="s">
        <v>4351</v>
      </c>
      <c r="D141" s="12" t="s">
        <v>1346</v>
      </c>
      <c r="E141" s="13" t="s">
        <v>4365</v>
      </c>
      <c r="F141" s="12" t="s">
        <v>1432</v>
      </c>
    </row>
    <row r="142" customFormat="false" ht="23.85" hidden="false" customHeight="false" outlineLevel="0" collapsed="false">
      <c r="A142" s="12" t="s">
        <v>2755</v>
      </c>
      <c r="B142" s="12" t="s">
        <v>174</v>
      </c>
      <c r="C142" s="12" t="s">
        <v>4351</v>
      </c>
      <c r="D142" s="12" t="s">
        <v>964</v>
      </c>
      <c r="E142" s="13" t="s">
        <v>4366</v>
      </c>
      <c r="F142" s="12" t="s">
        <v>1432</v>
      </c>
    </row>
    <row r="143" customFormat="false" ht="23.85" hidden="false" customHeight="false" outlineLevel="0" collapsed="false">
      <c r="A143" s="12" t="s">
        <v>2755</v>
      </c>
      <c r="B143" s="12" t="s">
        <v>174</v>
      </c>
      <c r="C143" s="12" t="s">
        <v>4351</v>
      </c>
      <c r="D143" s="12" t="s">
        <v>969</v>
      </c>
      <c r="E143" s="13" t="s">
        <v>4367</v>
      </c>
      <c r="F143" s="12" t="s">
        <v>1432</v>
      </c>
    </row>
    <row r="144" customFormat="false" ht="15" hidden="false" customHeight="false" outlineLevel="0" collapsed="false">
      <c r="A144" s="12" t="s">
        <v>2755</v>
      </c>
      <c r="B144" s="12" t="s">
        <v>174</v>
      </c>
      <c r="C144" s="12" t="s">
        <v>4351</v>
      </c>
      <c r="D144" s="12" t="s">
        <v>974</v>
      </c>
      <c r="E144" s="13" t="s">
        <v>4368</v>
      </c>
      <c r="F144" s="12" t="s">
        <v>1432</v>
      </c>
    </row>
    <row r="145" customFormat="false" ht="23.85" hidden="false" customHeight="false" outlineLevel="0" collapsed="false">
      <c r="A145" s="12" t="s">
        <v>2755</v>
      </c>
      <c r="B145" s="12" t="s">
        <v>174</v>
      </c>
      <c r="C145" s="12" t="s">
        <v>4351</v>
      </c>
      <c r="D145" s="12" t="s">
        <v>1018</v>
      </c>
      <c r="E145" s="13" t="s">
        <v>4369</v>
      </c>
      <c r="F145" s="12" t="s">
        <v>1432</v>
      </c>
    </row>
    <row r="146" customFormat="false" ht="15" hidden="false" customHeight="false" outlineLevel="0" collapsed="false">
      <c r="A146" s="12" t="s">
        <v>2755</v>
      </c>
      <c r="B146" s="12" t="s">
        <v>174</v>
      </c>
      <c r="C146" s="12" t="s">
        <v>4351</v>
      </c>
      <c r="D146" s="12" t="s">
        <v>1228</v>
      </c>
      <c r="E146" s="13" t="s">
        <v>4370</v>
      </c>
      <c r="F146" s="12" t="s">
        <v>1432</v>
      </c>
    </row>
    <row r="147" customFormat="false" ht="23.85" hidden="false" customHeight="false" outlineLevel="0" collapsed="false">
      <c r="A147" s="12" t="s">
        <v>2755</v>
      </c>
      <c r="B147" s="12" t="s">
        <v>174</v>
      </c>
      <c r="C147" s="12" t="s">
        <v>4351</v>
      </c>
      <c r="D147" s="12" t="s">
        <v>1268</v>
      </c>
      <c r="E147" s="13" t="s">
        <v>4371</v>
      </c>
      <c r="F147" s="12" t="s">
        <v>1432</v>
      </c>
    </row>
    <row r="148" customFormat="false" ht="23.85" hidden="false" customHeight="false" outlineLevel="0" collapsed="false">
      <c r="A148" s="12" t="s">
        <v>2755</v>
      </c>
      <c r="B148" s="12" t="s">
        <v>174</v>
      </c>
      <c r="C148" s="12" t="s">
        <v>4351</v>
      </c>
      <c r="D148" s="12" t="s">
        <v>1299</v>
      </c>
      <c r="E148" s="13" t="s">
        <v>4372</v>
      </c>
      <c r="F148" s="12" t="s">
        <v>1432</v>
      </c>
    </row>
    <row r="149" customFormat="false" ht="35.05" hidden="false" customHeight="false" outlineLevel="0" collapsed="false">
      <c r="A149" s="12" t="s">
        <v>2755</v>
      </c>
      <c r="B149" s="12" t="s">
        <v>174</v>
      </c>
      <c r="C149" s="12" t="s">
        <v>4373</v>
      </c>
      <c r="D149" s="12" t="s">
        <v>4374</v>
      </c>
      <c r="E149" s="13" t="s">
        <v>4375</v>
      </c>
      <c r="F149" s="12"/>
    </row>
    <row r="150" customFormat="false" ht="15" hidden="false" customHeight="false" outlineLevel="0" collapsed="false">
      <c r="A150" s="12" t="s">
        <v>2755</v>
      </c>
      <c r="B150" s="12" t="s">
        <v>174</v>
      </c>
      <c r="C150" s="12" t="s">
        <v>4252</v>
      </c>
      <c r="D150" s="12" t="s">
        <v>4376</v>
      </c>
      <c r="E150" s="13" t="s">
        <v>4377</v>
      </c>
      <c r="F150" s="12"/>
    </row>
    <row r="151" customFormat="false" ht="15" hidden="false" customHeight="false" outlineLevel="0" collapsed="false">
      <c r="A151" s="12" t="s">
        <v>2755</v>
      </c>
      <c r="B151" s="12" t="s">
        <v>174</v>
      </c>
      <c r="C151" s="12" t="s">
        <v>4252</v>
      </c>
      <c r="D151" s="12" t="s">
        <v>4378</v>
      </c>
      <c r="E151" s="13" t="s">
        <v>4379</v>
      </c>
      <c r="F151" s="12"/>
    </row>
    <row r="152" customFormat="false" ht="15" hidden="false" customHeight="false" outlineLevel="0" collapsed="false">
      <c r="A152" s="12" t="s">
        <v>2755</v>
      </c>
      <c r="B152" s="12" t="s">
        <v>174</v>
      </c>
      <c r="C152" s="12" t="s">
        <v>4252</v>
      </c>
      <c r="D152" s="12" t="s">
        <v>4380</v>
      </c>
      <c r="E152" s="13" t="s">
        <v>4381</v>
      </c>
      <c r="F152" s="12"/>
    </row>
    <row r="153" customFormat="false" ht="15" hidden="false" customHeight="false" outlineLevel="0" collapsed="false">
      <c r="A153" s="12" t="s">
        <v>2755</v>
      </c>
      <c r="B153" s="12" t="s">
        <v>174</v>
      </c>
      <c r="C153" s="12" t="s">
        <v>4252</v>
      </c>
      <c r="D153" s="12" t="s">
        <v>4382</v>
      </c>
      <c r="E153" s="13" t="s">
        <v>4383</v>
      </c>
      <c r="F153" s="12"/>
    </row>
    <row r="154" customFormat="false" ht="15" hidden="false" customHeight="false" outlineLevel="0" collapsed="false">
      <c r="A154" s="12" t="s">
        <v>2755</v>
      </c>
      <c r="B154" s="12" t="s">
        <v>174</v>
      </c>
      <c r="C154" s="12" t="s">
        <v>4252</v>
      </c>
      <c r="D154" s="12" t="s">
        <v>4384</v>
      </c>
      <c r="E154" s="13" t="s">
        <v>4385</v>
      </c>
      <c r="F154" s="12"/>
    </row>
    <row r="155" customFormat="false" ht="23.85" hidden="false" customHeight="false" outlineLevel="0" collapsed="false">
      <c r="A155" s="12" t="s">
        <v>2755</v>
      </c>
      <c r="B155" s="12" t="s">
        <v>174</v>
      </c>
      <c r="C155" s="12" t="s">
        <v>4259</v>
      </c>
      <c r="D155" s="12" t="s">
        <v>1279</v>
      </c>
      <c r="E155" s="13" t="s">
        <v>4386</v>
      </c>
      <c r="F155" s="12"/>
    </row>
  </sheetData>
  <autoFilter ref="A1:F1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2026-10-16T10:51:42Z</dcterms:created>
  <dc:creator>openpyxl</dc:creator>
  <dc:description/>
  <dc:language>en-US</dc:language>
  <cp:lastModifiedBy/>
  <dcterms:modified xsi:type="dcterms:W3CDTF">2026-10-16T10:51:44Z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